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Regional Office" sheetId="2" r:id="rId6"/>
  </sheets>
  <definedNames/>
  <calcPr/>
</workbook>
</file>

<file path=xl/sharedStrings.xml><?xml version="1.0" encoding="utf-8"?>
<sst xmlns="http://schemas.openxmlformats.org/spreadsheetml/2006/main" count="344" uniqueCount="277">
  <si>
    <t>REGIONAL OFFICE</t>
  </si>
  <si>
    <t>Project Code No.</t>
  </si>
  <si>
    <t>No. of Beneficiaries</t>
  </si>
  <si>
    <t>Municipality</t>
  </si>
  <si>
    <t>Barangay/s</t>
  </si>
  <si>
    <t>Bread &amp; Pastry Production</t>
  </si>
  <si>
    <t>Dressmaking/Sewing</t>
  </si>
  <si>
    <t>CODE</t>
  </si>
  <si>
    <t>Dressmaking/Tailoring</t>
  </si>
  <si>
    <t>Sewing</t>
  </si>
  <si>
    <t>Nail Care Services</t>
  </si>
  <si>
    <t>Haircutting Services</t>
  </si>
  <si>
    <t>Beauty Care</t>
  </si>
  <si>
    <t>MUNICIPALITIES</t>
  </si>
  <si>
    <t>Nego-Kart</t>
  </si>
  <si>
    <t>Pilinut Candy Making</t>
  </si>
  <si>
    <t>Fruit Vending</t>
  </si>
  <si>
    <t>Food Vending (Cooked Viand)</t>
  </si>
  <si>
    <t>Street Food Vending
(Balut)</t>
  </si>
  <si>
    <t>Frozen Goods Vending</t>
  </si>
  <si>
    <t>Tablea Processing</t>
  </si>
  <si>
    <t>Carpentry</t>
  </si>
  <si>
    <t>Printing Services</t>
  </si>
  <si>
    <t>Auto/Motor Repair Services</t>
  </si>
  <si>
    <t>Welding</t>
  </si>
  <si>
    <t>Vulcanizing</t>
  </si>
  <si>
    <t>Electronic Repair Services</t>
  </si>
  <si>
    <t>Tile Setting</t>
  </si>
  <si>
    <t>Fishing Vending</t>
  </si>
  <si>
    <t>Rubber Craft Making</t>
  </si>
  <si>
    <t>Shoe Repair Service</t>
  </si>
  <si>
    <t>Painting</t>
  </si>
  <si>
    <t>Fishing</t>
  </si>
  <si>
    <t>Taho Vending</t>
  </si>
  <si>
    <t>Soap Making</t>
  </si>
  <si>
    <t>Barbershop</t>
  </si>
  <si>
    <t>House Painting</t>
  </si>
  <si>
    <t>Cacao Making</t>
  </si>
  <si>
    <t>Nail Care Service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</si>
  <si>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</si>
  <si>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t>Hair &amp; Makeup Services</t>
  </si>
  <si>
    <t>Carwash Service</t>
  </si>
  <si>
    <t>Handicraft</t>
  </si>
  <si>
    <t>Handicraft (Burlap Making)</t>
  </si>
  <si>
    <t>Furniture Making</t>
  </si>
  <si>
    <t>Tailoring</t>
  </si>
  <si>
    <t>Dressmaking</t>
  </si>
  <si>
    <t>Catering Service</t>
  </si>
  <si>
    <t>Fruits and Vegetable Vending</t>
  </si>
  <si>
    <t>Vegetable Vending</t>
  </si>
  <si>
    <t>Salabat Powder Production</t>
  </si>
  <si>
    <t>Peanut Vending (Nego Kart)</t>
  </si>
  <si>
    <t>Peanut Butter Making</t>
  </si>
  <si>
    <t>Coffee Production Vending</t>
  </si>
  <si>
    <t>Food Vending
(Cooked Viand)</t>
  </si>
  <si>
    <t>Street Food Vending (Nego-Kart)</t>
  </si>
  <si>
    <t>Streetfood Vending</t>
  </si>
  <si>
    <t>Food Vending (Native Snacks)</t>
  </si>
  <si>
    <t>Food Vending</t>
  </si>
  <si>
    <t>DILP-RO20260625-001</t>
  </si>
  <si>
    <t>Food Vending Lomi/Mami</t>
  </si>
  <si>
    <t>Food Vending (Nego-Kart)</t>
  </si>
  <si>
    <t>Food Processing</t>
  </si>
  <si>
    <t>Food Production</t>
  </si>
  <si>
    <t>Food Grinding</t>
  </si>
  <si>
    <t>Food Vending
(Kakanin)</t>
  </si>
  <si>
    <t>Ice Cream Vending/Making</t>
  </si>
  <si>
    <t>Meat Vending</t>
  </si>
  <si>
    <t>Water Station Business</t>
  </si>
  <si>
    <t>DARAGA</t>
  </si>
  <si>
    <t>Anislag (Rellocation Site)</t>
  </si>
  <si>
    <t>Hollow             blocks Making</t>
  </si>
  <si>
    <t>Masonry</t>
  </si>
  <si>
    <t>Soft Broom Making</t>
  </si>
  <si>
    <t>Plumbing</t>
  </si>
  <si>
    <t>Aircon Technician</t>
  </si>
  <si>
    <t>Massage Service</t>
  </si>
  <si>
    <t>Glass Installer</t>
  </si>
  <si>
    <t>Document Printing Services</t>
  </si>
  <si>
    <t>Tricycle Driving</t>
  </si>
  <si>
    <t>Padyak Driving</t>
  </si>
  <si>
    <t>Fish Vending</t>
  </si>
  <si>
    <t>Fish Vending (Nego Kart)</t>
  </si>
  <si>
    <t>Baking</t>
  </si>
  <si>
    <t>Automotive Repair Services</t>
  </si>
  <si>
    <t>Pilinut Candy Making Vending</t>
  </si>
  <si>
    <t>Pilinut Making</t>
  </si>
  <si>
    <t>Electronics Repair Services</t>
  </si>
  <si>
    <t>Electrical Services</t>
  </si>
  <si>
    <t>Rice Retailing</t>
  </si>
  <si>
    <t>Coconut Grinding and Extraction</t>
  </si>
  <si>
    <t>TOTAL (Beneficiaries)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</si>
  <si>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</si>
  <si>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Kiwalo</t>
  </si>
  <si>
    <t>Balaguer</t>
  </si>
  <si>
    <t xml:space="preserve">Anislag </t>
  </si>
  <si>
    <t>Alcala</t>
  </si>
  <si>
    <t>Binitayan</t>
  </si>
  <si>
    <t>DILP-AL20260226-001</t>
  </si>
  <si>
    <t>Kilicao</t>
  </si>
  <si>
    <t>Bagumbayan</t>
  </si>
  <si>
    <t>JOVELLAR</t>
  </si>
  <si>
    <t>Mabini</t>
  </si>
  <si>
    <t>GUINOBATAN</t>
  </si>
  <si>
    <t>Calzada</t>
  </si>
  <si>
    <t>Inascan</t>
  </si>
  <si>
    <t>LIGAO</t>
  </si>
  <si>
    <t>San Vicente</t>
  </si>
  <si>
    <t>Tula-Tula</t>
  </si>
  <si>
    <t>Batang</t>
  </si>
  <si>
    <t>Mahaba</t>
  </si>
  <si>
    <t>Santa Cruz</t>
  </si>
  <si>
    <t>Binatagan</t>
  </si>
  <si>
    <t>Batnag</t>
  </si>
  <si>
    <t>LEGAZPI CITY</t>
  </si>
  <si>
    <t>Dapdap</t>
  </si>
  <si>
    <t>Buraguis</t>
  </si>
  <si>
    <t>Ilawod Pob.</t>
  </si>
  <si>
    <t>Homapon</t>
  </si>
  <si>
    <t>Rawis</t>
  </si>
  <si>
    <t>Taysan</t>
  </si>
  <si>
    <t>Bigaa</t>
  </si>
  <si>
    <t>Peñaranda</t>
  </si>
  <si>
    <t>Sabang</t>
  </si>
  <si>
    <t>Gogon</t>
  </si>
  <si>
    <t>Victory Village</t>
  </si>
  <si>
    <t>Banquerohan</t>
  </si>
  <si>
    <t>Puro</t>
  </si>
  <si>
    <t>TABACO CITY</t>
  </si>
  <si>
    <t>Pawa</t>
  </si>
  <si>
    <t>San Lorenzo</t>
  </si>
  <si>
    <t>CAMALIG</t>
  </si>
  <si>
    <t>Gapo</t>
  </si>
  <si>
    <t>Taplacon</t>
  </si>
  <si>
    <t>POLANGUI</t>
  </si>
  <si>
    <t>Napo</t>
  </si>
  <si>
    <t>Sabidoron</t>
  </si>
  <si>
    <t>San Roque</t>
  </si>
  <si>
    <t>Kinale</t>
  </si>
  <si>
    <t>MANITO</t>
  </si>
  <si>
    <t>Quitinday</t>
  </si>
  <si>
    <t>Cabacongan</t>
  </si>
  <si>
    <t>Holugan</t>
  </si>
  <si>
    <t>STO. DOMINGO</t>
  </si>
  <si>
    <t>Rizal</t>
  </si>
  <si>
    <t>Lidong</t>
  </si>
  <si>
    <t>Sinagaran</t>
  </si>
  <si>
    <t>Cabraran</t>
  </si>
  <si>
    <t>San Isidro</t>
  </si>
  <si>
    <t>Estrella</t>
  </si>
  <si>
    <t>Mercado</t>
  </si>
  <si>
    <t>Bautista</t>
  </si>
  <si>
    <t>Villa Paz</t>
  </si>
  <si>
    <t>Bagacay</t>
  </si>
  <si>
    <t>White Deer</t>
  </si>
  <si>
    <t>Del Rosario</t>
  </si>
  <si>
    <t>Maogog</t>
  </si>
  <si>
    <t>Salvacion</t>
  </si>
  <si>
    <t>DILP-AL20260213-002</t>
  </si>
  <si>
    <t>Legazpi City</t>
  </si>
  <si>
    <t>DILP-AL20260324-003</t>
  </si>
  <si>
    <t>Malinao</t>
  </si>
  <si>
    <t>Balading</t>
  </si>
  <si>
    <t>Bariw</t>
  </si>
  <si>
    <t>Matalipni</t>
  </si>
  <si>
    <t>Libod</t>
  </si>
  <si>
    <t>Burabod</t>
  </si>
  <si>
    <t>Estancia</t>
  </si>
  <si>
    <t xml:space="preserve"> </t>
  </si>
  <si>
    <t>Payahan</t>
  </si>
  <si>
    <t>Daraga</t>
  </si>
  <si>
    <t>Busay</t>
  </si>
  <si>
    <t>DILP-AL20260325-004</t>
  </si>
  <si>
    <t>Sto. Domingo</t>
  </si>
  <si>
    <t>Bagong San Roque</t>
  </si>
  <si>
    <t>San Andres</t>
  </si>
  <si>
    <t>Gabawan</t>
  </si>
  <si>
    <t>Sipi</t>
  </si>
  <si>
    <t>Kimantong</t>
  </si>
  <si>
    <t>Lacag</t>
  </si>
  <si>
    <t>Legazpi</t>
  </si>
  <si>
    <t>Tamaoyan</t>
  </si>
  <si>
    <t>Buyuan</t>
  </si>
  <si>
    <t>Maslog</t>
  </si>
  <si>
    <t>Brgy. 17 Rizal St. Ilawod</t>
  </si>
  <si>
    <t>Tabaco</t>
  </si>
  <si>
    <t>Ligao City</t>
  </si>
  <si>
    <t>Paulog</t>
  </si>
  <si>
    <t>Pandan</t>
  </si>
  <si>
    <t>Tinago</t>
  </si>
  <si>
    <t>Camalig</t>
  </si>
  <si>
    <t>Cabangan</t>
  </si>
  <si>
    <t>DILP-AL20260416-005</t>
  </si>
  <si>
    <t>Bacacay</t>
  </si>
  <si>
    <t>Bonga</t>
  </si>
  <si>
    <t>Banao</t>
  </si>
  <si>
    <t>Pili Raya</t>
  </si>
  <si>
    <t>Mapulang Daga</t>
  </si>
  <si>
    <t>Tumpa</t>
  </si>
  <si>
    <t>Ilawod</t>
  </si>
  <si>
    <t>Taloto</t>
  </si>
  <si>
    <t>Bañag</t>
  </si>
  <si>
    <t>Kinawitan</t>
  </si>
  <si>
    <t>Bongalon</t>
  </si>
  <si>
    <t>Tagas</t>
  </si>
  <si>
    <t>Bascaran</t>
  </si>
  <si>
    <t>Guinobatan</t>
  </si>
  <si>
    <t>Masarawag</t>
  </si>
  <si>
    <t>Bubulusan</t>
  </si>
  <si>
    <t>Muladbucad Pequeño</t>
  </si>
  <si>
    <t>Binogsacan Upper</t>
  </si>
  <si>
    <t>Jovellar</t>
  </si>
  <si>
    <t>Centro Baybay</t>
  </si>
  <si>
    <t>Estanza</t>
  </si>
  <si>
    <t>Cagbacong</t>
  </si>
  <si>
    <t>Imalnod</t>
  </si>
  <si>
    <t>Brgy. 1 EM's Barrio</t>
  </si>
  <si>
    <t>Libon</t>
  </si>
  <si>
    <t>Pantao</t>
  </si>
  <si>
    <t>Catburawan</t>
  </si>
  <si>
    <t>Guilid</t>
  </si>
  <si>
    <t>Maonon</t>
  </si>
  <si>
    <t>Malilipot</t>
  </si>
  <si>
    <t>Brgy. 3</t>
  </si>
  <si>
    <t>Canaway</t>
  </si>
  <si>
    <t>Manito</t>
  </si>
  <si>
    <t>Cawayan</t>
  </si>
  <si>
    <t>It-Ba</t>
  </si>
  <si>
    <t>Buyo</t>
  </si>
  <si>
    <t>Oas</t>
  </si>
  <si>
    <t>Cagmanaba</t>
  </si>
  <si>
    <t>Badian</t>
  </si>
  <si>
    <t>Rapu-Rapu</t>
  </si>
  <si>
    <t>San Ramon</t>
  </si>
  <si>
    <t>Batan</t>
  </si>
  <si>
    <t>Bogtong</t>
  </si>
  <si>
    <t>Fidel Surtida</t>
  </si>
  <si>
    <t>Sta. Misericordia</t>
  </si>
  <si>
    <t>Tabaco City</t>
  </si>
  <si>
    <t>Hacienda</t>
  </si>
  <si>
    <t>Sagurong</t>
  </si>
  <si>
    <t>Agñas</t>
  </si>
  <si>
    <t>Tiwi</t>
  </si>
  <si>
    <t>Matalibong</t>
  </si>
  <si>
    <t>Misibis</t>
  </si>
  <si>
    <t>Baybay</t>
  </si>
  <si>
    <t>DILP-AL20260526-006</t>
  </si>
  <si>
    <t>Bogna</t>
  </si>
  <si>
    <t>Nagotgot</t>
  </si>
  <si>
    <t>Polangui</t>
  </si>
  <si>
    <t>Zone 7</t>
  </si>
  <si>
    <t>Pio Duran</t>
  </si>
  <si>
    <t>Malobago</t>
  </si>
  <si>
    <t>Anoling</t>
  </si>
  <si>
    <t>Gabon</t>
  </si>
  <si>
    <t>DILP-AL20260610-007</t>
  </si>
  <si>
    <t>Bacolod</t>
  </si>
  <si>
    <t>Bangkilingan</t>
  </si>
  <si>
    <t>Baranghawon</t>
  </si>
  <si>
    <t>Bongabong</t>
  </si>
  <si>
    <t>Basud</t>
  </si>
  <si>
    <t>Bombon</t>
  </si>
  <si>
    <t>Cobo</t>
  </si>
  <si>
    <t>Cormidal</t>
  </si>
  <si>
    <t>Fatima</t>
  </si>
  <si>
    <t>Guinobat</t>
  </si>
  <si>
    <t>Mariroc</t>
  </si>
  <si>
    <t>Matagbac</t>
  </si>
  <si>
    <t>Panal</t>
  </si>
  <si>
    <t>Pinagbobong</t>
  </si>
  <si>
    <t>Quinale</t>
  </si>
  <si>
    <t>San Antonio</t>
  </si>
  <si>
    <t>San Carlos</t>
  </si>
  <si>
    <t>Sto. Cristo</t>
  </si>
  <si>
    <t>Tayhi</t>
  </si>
  <si>
    <t>DILP-AL20260721-008</t>
  </si>
  <si>
    <t>Mamlad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</si>
</sst>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theme="1"/>
      <name val="Arial"/>
    </font>
    <font/>
    <font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i/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3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3" numFmtId="0" xfId="0" applyBorder="1" applyFont="1"/>
    <xf borderId="4" fillId="0" fontId="2" numFmtId="0" xfId="0" applyBorder="1" applyFont="1"/>
    <xf borderId="2" fillId="2" fontId="3" numFmtId="0" xfId="0" applyBorder="1" applyFont="1"/>
    <xf borderId="0" fillId="2" fontId="3" numFmtId="0" xfId="0" applyFont="1"/>
    <xf borderId="5" fillId="2" fontId="3" numFmtId="0" xfId="0" applyBorder="1" applyFont="1"/>
    <xf borderId="6" fillId="2" fontId="3" numFmtId="0" xfId="0" applyBorder="1" applyFont="1"/>
    <xf borderId="7" fillId="2" fontId="3" numFmtId="0" xfId="0" applyBorder="1" applyFont="1"/>
    <xf borderId="8" fillId="2" fontId="3" numFmtId="0" xfId="0" applyBorder="1" applyFont="1"/>
    <xf borderId="9" fillId="2" fontId="3" numFmtId="0" xfId="0" applyBorder="1" applyFont="1"/>
    <xf borderId="3" fillId="3" fontId="4" numFmtId="0" xfId="0" applyAlignment="1" applyBorder="1" applyFill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0" fillId="4" fontId="3" numFmtId="0" xfId="0" applyFill="1" applyFont="1"/>
    <xf borderId="9" fillId="4" fontId="5" numFmtId="0" xfId="0" applyAlignment="1" applyBorder="1" applyFont="1">
      <alignment horizontal="center" shrinkToFit="0" wrapText="1"/>
    </xf>
    <xf borderId="11" fillId="2" fontId="3" numFmtId="0" xfId="0" applyBorder="1" applyFont="1"/>
    <xf borderId="12" fillId="4" fontId="5" numFmtId="0" xfId="0" applyAlignment="1" applyBorder="1" applyFont="1">
      <alignment horizontal="center" shrinkToFit="0" wrapText="1"/>
    </xf>
    <xf borderId="13" fillId="3" fontId="4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horizontal="center" shrinkToFit="0" wrapText="1"/>
    </xf>
    <xf borderId="0" fillId="3" fontId="6" numFmtId="0" xfId="0" applyFont="1"/>
    <xf borderId="3" fillId="4" fontId="5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horizontal="center" shrinkToFit="0" wrapText="1"/>
    </xf>
    <xf borderId="10" fillId="3" fontId="7" numFmtId="0" xfId="0" applyAlignment="1" applyBorder="1" applyFont="1">
      <alignment horizontal="center" shrinkToFit="0" wrapText="1"/>
    </xf>
    <xf borderId="15" fillId="4" fontId="5" numFmtId="0" xfId="0" applyAlignment="1" applyBorder="1" applyFont="1">
      <alignment horizontal="center" shrinkToFit="0" wrapText="1"/>
    </xf>
    <xf borderId="16" fillId="4" fontId="5" numFmtId="0" xfId="0" applyAlignment="1" applyBorder="1" applyFont="1">
      <alignment horizontal="center" shrinkToFit="0" wrapText="1"/>
    </xf>
    <xf borderId="17" fillId="4" fontId="5" numFmtId="0" xfId="0" applyAlignment="1" applyBorder="1" applyFont="1">
      <alignment horizontal="center" shrinkToFit="0" wrapText="1"/>
    </xf>
    <xf borderId="14" fillId="5" fontId="4" numFmtId="0" xfId="0" applyAlignment="1" applyBorder="1" applyFill="1" applyFon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3" fillId="6" fontId="5" numFmtId="0" xfId="0" applyAlignment="1" applyBorder="1" applyFill="1" applyFont="1">
      <alignment horizontal="center"/>
    </xf>
    <xf borderId="1" fillId="6" fontId="5" numFmtId="0" xfId="0" applyAlignment="1" applyBorder="1" applyFont="1">
      <alignment horizontal="center" shrinkToFit="0" vertical="bottom" wrapText="1"/>
    </xf>
    <xf borderId="0" fillId="6" fontId="5" numFmtId="0" xfId="0" applyAlignment="1" applyFont="1">
      <alignment horizontal="center" vertical="bottom"/>
    </xf>
    <xf borderId="6" fillId="6" fontId="3" numFmtId="0" xfId="0" applyAlignment="1" applyBorder="1" applyFont="1">
      <alignment vertical="bottom"/>
    </xf>
    <xf borderId="25" fillId="6" fontId="3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7" fillId="6" fontId="3" numFmtId="0" xfId="0" applyAlignment="1" applyBorder="1" applyFont="1">
      <alignment vertical="bottom"/>
    </xf>
    <xf borderId="7" fillId="6" fontId="5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shrinkToFit="0" wrapText="1"/>
    </xf>
    <xf borderId="13" fillId="0" fontId="2" numFmtId="0" xfId="0" applyBorder="1" applyFont="1"/>
    <xf borderId="26" fillId="0" fontId="2" numFmtId="0" xfId="0" applyBorder="1" applyFont="1"/>
    <xf borderId="1" fillId="6" fontId="5" numFmtId="0" xfId="0" applyAlignment="1" applyBorder="1" applyFont="1">
      <alignment horizontal="center" vertical="bottom"/>
    </xf>
    <xf borderId="5" fillId="6" fontId="5" numFmtId="0" xfId="0" applyAlignment="1" applyBorder="1" applyFont="1">
      <alignment horizontal="center" vertical="bottom"/>
    </xf>
    <xf borderId="1" fillId="7" fontId="3" numFmtId="0" xfId="0" applyAlignment="1" applyBorder="1" applyFill="1" applyFont="1">
      <alignment vertical="bottom"/>
    </xf>
    <xf borderId="7" fillId="7" fontId="3" numFmtId="0" xfId="0" applyAlignment="1" applyBorder="1" applyFont="1">
      <alignment vertical="bottom"/>
    </xf>
    <xf borderId="14" fillId="7" fontId="3" numFmtId="0" xfId="0" applyAlignment="1" applyBorder="1" applyFont="1">
      <alignment vertical="bottom"/>
    </xf>
    <xf borderId="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center" vertical="bottom"/>
    </xf>
    <xf borderId="12" fillId="6" fontId="5" numFmtId="0" xfId="0" applyAlignment="1" applyBorder="1" applyFont="1">
      <alignment horizontal="center"/>
    </xf>
    <xf borderId="2" fillId="6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/>
    </xf>
    <xf borderId="13" fillId="6" fontId="5" numFmtId="0" xfId="0" applyAlignment="1" applyBorder="1" applyFont="1">
      <alignment horizontal="center"/>
    </xf>
    <xf borderId="25" fillId="6" fontId="5" numFmtId="0" xfId="0" applyAlignment="1" applyBorder="1" applyFon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7" fillId="8" fontId="3" numFmtId="0" xfId="0" applyAlignment="1" applyBorder="1" applyFont="1">
      <alignment vertical="bottom"/>
    </xf>
    <xf borderId="6" fillId="6" fontId="5" numFmtId="0" xfId="0" applyAlignment="1" applyBorder="1" applyFont="1">
      <alignment horizontal="center" vertical="bottom"/>
    </xf>
    <xf borderId="7" fillId="8" fontId="5" numFmtId="0" xfId="0" applyAlignment="1" applyBorder="1" applyFont="1">
      <alignment horizontal="center" vertical="bottom"/>
    </xf>
    <xf borderId="25" fillId="6" fontId="5" numFmtId="0" xfId="0" applyAlignment="1" applyBorder="1" applyFont="1">
      <alignment horizontal="center" shrinkToFit="0" vertical="bottom" wrapText="1"/>
    </xf>
    <xf borderId="27" fillId="0" fontId="2" numFmtId="0" xfId="0" applyBorder="1" applyFont="1"/>
    <xf borderId="28" fillId="6" fontId="5" numFmtId="0" xfId="0" applyAlignment="1" applyBorder="1" applyFont="1">
      <alignment horizontal="center"/>
    </xf>
    <xf borderId="28" fillId="9" fontId="3" numFmtId="0" xfId="0" applyAlignment="1" applyBorder="1" applyFill="1" applyFont="1">
      <alignment vertical="bottom"/>
    </xf>
    <xf borderId="1" fillId="9" fontId="3" numFmtId="0" xfId="0" applyAlignment="1" applyBorder="1" applyFont="1">
      <alignment vertical="bottom"/>
    </xf>
    <xf borderId="7" fillId="9" fontId="3" numFmtId="0" xfId="0" applyAlignment="1" applyBorder="1" applyFont="1">
      <alignment vertical="bottom"/>
    </xf>
    <xf borderId="14" fillId="9" fontId="3" numFmtId="0" xfId="0" applyAlignment="1" applyBorder="1" applyFont="1">
      <alignment vertical="bottom"/>
    </xf>
    <xf borderId="28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26" fillId="9" fontId="3" numFmtId="0" xfId="0" applyAlignment="1" applyBorder="1" applyFont="1">
      <alignment vertical="bottom"/>
    </xf>
    <xf borderId="0" fillId="9" fontId="3" numFmtId="0" xfId="0" applyAlignment="1" applyFont="1">
      <alignment vertical="bottom"/>
    </xf>
    <xf borderId="3" fillId="0" fontId="5" numFmtId="0" xfId="0" applyAlignment="1" applyBorder="1" applyFont="1">
      <alignment horizontal="center" shrinkToFit="0" wrapText="1"/>
    </xf>
    <xf borderId="26" fillId="0" fontId="3" numFmtId="0" xfId="0" applyAlignment="1" applyBorder="1" applyFont="1">
      <alignment vertical="bottom"/>
    </xf>
    <xf borderId="26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29" fillId="0" fontId="2" numFmtId="0" xfId="0" applyBorder="1" applyFont="1"/>
    <xf borderId="1" fillId="0" fontId="5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28" fillId="0" fontId="5" numFmtId="0" xfId="0" applyAlignment="1" applyBorder="1" applyFont="1">
      <alignment horizontal="center" shrinkToFit="0" wrapText="1"/>
    </xf>
    <xf borderId="1" fillId="7" fontId="3" numFmtId="0" xfId="0" applyBorder="1" applyFont="1"/>
    <xf borderId="7" fillId="7" fontId="3" numFmtId="0" xfId="0" applyBorder="1" applyFont="1"/>
    <xf borderId="10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 vertical="bottom"/>
    </xf>
    <xf borderId="30" fillId="0" fontId="2" numFmtId="0" xfId="0" applyBorder="1" applyFont="1"/>
    <xf borderId="16" fillId="0" fontId="3" numFmtId="0" xfId="0" applyAlignment="1" applyBorder="1" applyFont="1">
      <alignment vertical="bottom"/>
    </xf>
    <xf borderId="28" fillId="0" fontId="5" numFmtId="0" xfId="0" applyAlignment="1" applyBorder="1" applyFont="1">
      <alignment horizontal="center"/>
    </xf>
    <xf borderId="31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10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bottom"/>
    </xf>
    <xf borderId="7" fillId="2" fontId="3" numFmtId="0" xfId="0" applyAlignment="1" applyBorder="1" applyFont="1">
      <alignment vertical="bottom"/>
    </xf>
    <xf borderId="7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/>
    </xf>
    <xf borderId="16" fillId="2" fontId="5" numFmtId="0" xfId="0" applyAlignment="1" applyBorder="1" applyFont="1">
      <alignment horizontal="center"/>
    </xf>
    <xf borderId="16" fillId="2" fontId="3" numFmtId="0" xfId="0" applyAlignment="1" applyBorder="1" applyFont="1">
      <alignment vertical="bottom"/>
    </xf>
    <xf borderId="31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26" fillId="2" fontId="3" numFmtId="0" xfId="0" applyAlignment="1" applyBorder="1" applyFont="1">
      <alignment vertical="bottom"/>
    </xf>
    <xf borderId="10" fillId="2" fontId="5" numFmtId="0" xfId="0" applyAlignment="1" applyBorder="1" applyFont="1">
      <alignment horizontal="center" vertical="bottom"/>
    </xf>
    <xf borderId="28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 vertical="bottom"/>
    </xf>
    <xf borderId="28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/>
    </xf>
    <xf borderId="19" fillId="2" fontId="5" numFmtId="0" xfId="0" applyAlignment="1" applyBorder="1" applyFont="1">
      <alignment horizontal="center" vertical="bottom"/>
    </xf>
    <xf borderId="7" fillId="9" fontId="3" numFmtId="0" xfId="0" applyBorder="1" applyFont="1"/>
    <xf borderId="1" fillId="9" fontId="3" numFmtId="0" xfId="0" applyBorder="1" applyFont="1"/>
    <xf borderId="3" fillId="7" fontId="3" numFmtId="0" xfId="0" applyBorder="1" applyFont="1"/>
    <xf borderId="28" fillId="7" fontId="3" numFmtId="0" xfId="0" applyBorder="1" applyFont="1"/>
    <xf borderId="16" fillId="7" fontId="3" numFmtId="0" xfId="0" applyBorder="1" applyFont="1"/>
    <xf borderId="3" fillId="0" fontId="3" numFmtId="0" xfId="0" applyBorder="1" applyFont="1"/>
    <xf borderId="1" fillId="0" fontId="3" numFmtId="0" xfId="0" applyAlignment="1" applyBorder="1" applyFont="1">
      <alignment vertical="bottom"/>
    </xf>
    <xf borderId="7" fillId="5" fontId="5" numFmtId="0" xfId="0" applyAlignment="1" applyBorder="1" applyFont="1">
      <alignment horizontal="center" vertical="bottom"/>
    </xf>
    <xf borderId="31" fillId="5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"/>
      <c r="C1" s="5"/>
      <c r="D1" s="5"/>
      <c r="E1" s="7"/>
      <c r="F1" s="7"/>
      <c r="G1" s="7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6"/>
    </row>
    <row r="2">
      <c r="A2" s="18" t="s">
        <v>7</v>
      </c>
      <c r="B2" s="12" t="s">
        <v>2</v>
      </c>
      <c r="C2" s="20" t="s">
        <v>13</v>
      </c>
      <c r="D2" s="23" t="s">
        <v>4</v>
      </c>
      <c r="E2" s="25" t="s">
        <v>27</v>
      </c>
      <c r="F2" s="25" t="s">
        <v>29</v>
      </c>
      <c r="G2" s="25" t="s">
        <v>30</v>
      </c>
      <c r="H2" s="25" t="s">
        <v>31</v>
      </c>
      <c r="I2" s="25" t="s">
        <v>33</v>
      </c>
      <c r="J2" s="25" t="s">
        <v>34</v>
      </c>
      <c r="K2" s="19" t="s">
        <v>35</v>
      </c>
      <c r="L2" s="21" t="s">
        <v>36</v>
      </c>
      <c r="M2" s="21" t="s">
        <v>37</v>
      </c>
      <c r="N2" s="21" t="s">
        <v>38</v>
      </c>
      <c r="O2" s="21" t="s">
        <v>40</v>
      </c>
      <c r="P2" s="21" t="s">
        <v>12</v>
      </c>
      <c r="Q2" s="21" t="s">
        <v>41</v>
      </c>
      <c r="R2" s="21" t="s">
        <v>42</v>
      </c>
      <c r="S2" s="21" t="s">
        <v>43</v>
      </c>
      <c r="T2" s="21" t="s">
        <v>44</v>
      </c>
      <c r="U2" s="21" t="s">
        <v>9</v>
      </c>
      <c r="V2" s="21" t="s">
        <v>45</v>
      </c>
      <c r="W2" s="21" t="s">
        <v>46</v>
      </c>
      <c r="X2" s="21" t="s">
        <v>47</v>
      </c>
      <c r="Y2" s="21" t="s">
        <v>48</v>
      </c>
      <c r="Z2" s="21" t="s">
        <v>49</v>
      </c>
      <c r="AA2" s="21" t="s">
        <v>50</v>
      </c>
      <c r="AB2" s="21" t="s">
        <v>51</v>
      </c>
      <c r="AC2" s="21" t="s">
        <v>52</v>
      </c>
      <c r="AD2" s="21" t="s">
        <v>53</v>
      </c>
      <c r="AE2" s="21" t="s">
        <v>54</v>
      </c>
      <c r="AF2" s="21" t="s">
        <v>55</v>
      </c>
      <c r="AG2" s="21" t="s">
        <v>56</v>
      </c>
      <c r="AH2" s="21" t="s">
        <v>57</v>
      </c>
      <c r="AI2" s="21" t="s">
        <v>58</v>
      </c>
      <c r="AJ2" s="21" t="s">
        <v>60</v>
      </c>
      <c r="AK2" s="21" t="s">
        <v>61</v>
      </c>
      <c r="AL2" s="21" t="s">
        <v>19</v>
      </c>
      <c r="AM2" s="21" t="s">
        <v>62</v>
      </c>
      <c r="AN2" s="21" t="s">
        <v>63</v>
      </c>
      <c r="AO2" s="21" t="s">
        <v>64</v>
      </c>
      <c r="AP2" s="21" t="s">
        <v>65</v>
      </c>
      <c r="AQ2" s="21" t="s">
        <v>66</v>
      </c>
      <c r="AR2" s="21" t="s">
        <v>67</v>
      </c>
      <c r="AS2" s="21" t="s">
        <v>68</v>
      </c>
      <c r="AT2" s="21" t="s">
        <v>24</v>
      </c>
      <c r="AU2" s="21" t="s">
        <v>21</v>
      </c>
      <c r="AV2" s="21" t="s">
        <v>71</v>
      </c>
      <c r="AW2" s="21" t="s">
        <v>72</v>
      </c>
      <c r="AX2" s="21" t="s">
        <v>73</v>
      </c>
      <c r="AY2" s="21" t="s">
        <v>74</v>
      </c>
      <c r="AZ2" s="21" t="s">
        <v>75</v>
      </c>
      <c r="BA2" s="21" t="s">
        <v>76</v>
      </c>
      <c r="BB2" s="21" t="s">
        <v>77</v>
      </c>
      <c r="BC2" s="21" t="s">
        <v>78</v>
      </c>
      <c r="BD2" s="21" t="s">
        <v>79</v>
      </c>
      <c r="BE2" s="21" t="s">
        <v>80</v>
      </c>
      <c r="BF2" s="21" t="s">
        <v>81</v>
      </c>
      <c r="BG2" s="21" t="s">
        <v>82</v>
      </c>
      <c r="BH2" s="21" t="s">
        <v>83</v>
      </c>
      <c r="BI2" s="21" t="s">
        <v>84</v>
      </c>
      <c r="BJ2" s="21" t="s">
        <v>85</v>
      </c>
      <c r="BK2" s="21" t="s">
        <v>86</v>
      </c>
      <c r="BL2" s="21" t="s">
        <v>87</v>
      </c>
      <c r="BM2" s="21" t="s">
        <v>88</v>
      </c>
      <c r="BN2" s="21" t="s">
        <v>25</v>
      </c>
      <c r="BO2" s="21" t="s">
        <v>89</v>
      </c>
      <c r="BP2" s="21" t="s">
        <v>90</v>
      </c>
      <c r="BQ2" s="21" t="s">
        <v>32</v>
      </c>
      <c r="BR2" s="43" t="s">
        <v>91</v>
      </c>
      <c r="BS2" s="43" t="s">
        <v>92</v>
      </c>
    </row>
    <row r="3">
      <c r="A3" s="28"/>
      <c r="B3" s="28"/>
      <c r="D3" s="29"/>
      <c r="E3" s="45"/>
      <c r="F3" s="45"/>
      <c r="G3" s="45"/>
      <c r="H3" s="45"/>
      <c r="I3" s="45"/>
      <c r="J3" s="45"/>
      <c r="K3" s="32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</row>
    <row r="4">
      <c r="A4" s="48"/>
      <c r="B4" s="2"/>
      <c r="C4" s="2"/>
      <c r="D4" s="4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50"/>
    </row>
    <row r="5">
      <c r="A5" s="51" t="s">
        <v>98</v>
      </c>
      <c r="B5" s="51">
        <v>100.0</v>
      </c>
      <c r="C5" s="51" t="s">
        <v>101</v>
      </c>
      <c r="D5" s="52" t="s">
        <v>102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4">
        <v>2.0</v>
      </c>
      <c r="AH5" s="53"/>
      <c r="AI5" s="54">
        <v>1.0</v>
      </c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4">
        <v>1.0</v>
      </c>
      <c r="BB5" s="53"/>
      <c r="BC5" s="53"/>
      <c r="BD5" s="53"/>
      <c r="BE5" s="53"/>
      <c r="BF5" s="53"/>
      <c r="BG5" s="53"/>
      <c r="BH5" s="53"/>
      <c r="BI5" s="54">
        <v>1.0</v>
      </c>
      <c r="BJ5" s="53"/>
      <c r="BK5" s="53"/>
      <c r="BL5" s="53"/>
      <c r="BM5" s="53"/>
      <c r="BN5" s="53"/>
      <c r="BO5" s="53"/>
      <c r="BP5" s="53"/>
      <c r="BQ5" s="53"/>
      <c r="BR5" s="54">
        <f t="shared" ref="BR5:BR22" si="1">sum(E5:BQ5)</f>
        <v>5</v>
      </c>
      <c r="BS5" s="57">
        <f>sum(BR5:BR22)</f>
        <v>100</v>
      </c>
    </row>
    <row r="6">
      <c r="A6" s="44"/>
      <c r="B6" s="44"/>
      <c r="C6" s="44"/>
      <c r="D6" s="60" t="s">
        <v>107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3">
        <v>1.0</v>
      </c>
      <c r="AH6" s="61"/>
      <c r="AI6" s="63">
        <v>2.0</v>
      </c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3">
        <v>1.0</v>
      </c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3">
        <v>2.0</v>
      </c>
      <c r="BI6" s="61"/>
      <c r="BJ6" s="61"/>
      <c r="BK6" s="61"/>
      <c r="BL6" s="61"/>
      <c r="BM6" s="61"/>
      <c r="BN6" s="61"/>
      <c r="BO6" s="61"/>
      <c r="BP6" s="61"/>
      <c r="BQ6" s="61"/>
      <c r="BR6" s="63">
        <f t="shared" si="1"/>
        <v>6</v>
      </c>
      <c r="BS6" s="65"/>
    </row>
    <row r="7">
      <c r="A7" s="44"/>
      <c r="B7" s="44"/>
      <c r="C7" s="44"/>
      <c r="D7" s="60" t="s">
        <v>137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3">
        <v>1.0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3">
        <v>1.0</v>
      </c>
      <c r="AH7" s="61"/>
      <c r="AI7" s="63">
        <v>5.0</v>
      </c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3">
        <v>1.0</v>
      </c>
      <c r="BI7" s="61"/>
      <c r="BJ7" s="61"/>
      <c r="BK7" s="61"/>
      <c r="BL7" s="61"/>
      <c r="BM7" s="61"/>
      <c r="BN7" s="61"/>
      <c r="BO7" s="61"/>
      <c r="BP7" s="61"/>
      <c r="BQ7" s="61"/>
      <c r="BR7" s="63">
        <f t="shared" si="1"/>
        <v>8</v>
      </c>
      <c r="BS7" s="65"/>
    </row>
    <row r="8">
      <c r="A8" s="44"/>
      <c r="B8" s="44"/>
      <c r="C8" s="44"/>
      <c r="D8" s="60" t="s">
        <v>140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3">
        <v>1.0</v>
      </c>
      <c r="AH8" s="61"/>
      <c r="AI8" s="61"/>
      <c r="AJ8" s="61"/>
      <c r="AK8" s="61"/>
      <c r="AL8" s="63">
        <v>2.0</v>
      </c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3">
        <v>1.0</v>
      </c>
      <c r="BI8" s="61"/>
      <c r="BJ8" s="61"/>
      <c r="BK8" s="61"/>
      <c r="BL8" s="61"/>
      <c r="BM8" s="61"/>
      <c r="BN8" s="61"/>
      <c r="BO8" s="61"/>
      <c r="BP8" s="61"/>
      <c r="BQ8" s="61"/>
      <c r="BR8" s="63">
        <f t="shared" si="1"/>
        <v>4</v>
      </c>
      <c r="BS8" s="65"/>
    </row>
    <row r="9">
      <c r="A9" s="44"/>
      <c r="B9" s="44"/>
      <c r="C9" s="44"/>
      <c r="D9" s="60" t="s">
        <v>144</v>
      </c>
      <c r="E9" s="61"/>
      <c r="F9" s="61"/>
      <c r="G9" s="61"/>
      <c r="H9" s="61"/>
      <c r="I9" s="61"/>
      <c r="J9" s="61"/>
      <c r="K9" s="61"/>
      <c r="L9" s="61"/>
      <c r="M9" s="63">
        <v>1.0</v>
      </c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3">
        <v>3.0</v>
      </c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3">
        <f t="shared" si="1"/>
        <v>4</v>
      </c>
      <c r="BS9" s="65"/>
    </row>
    <row r="10">
      <c r="A10" s="44"/>
      <c r="B10" s="44"/>
      <c r="C10" s="44"/>
      <c r="D10" s="60" t="s">
        <v>146</v>
      </c>
      <c r="E10" s="61"/>
      <c r="F10" s="61"/>
      <c r="G10" s="61"/>
      <c r="H10" s="61"/>
      <c r="I10" s="61"/>
      <c r="J10" s="61"/>
      <c r="K10" s="61"/>
      <c r="L10" s="61"/>
      <c r="M10" s="61"/>
      <c r="N10" s="63">
        <v>1.0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3">
        <v>3.0</v>
      </c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3">
        <v>1.0</v>
      </c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3">
        <f t="shared" si="1"/>
        <v>5</v>
      </c>
      <c r="BS10" s="65"/>
    </row>
    <row r="11">
      <c r="A11" s="44"/>
      <c r="B11" s="44"/>
      <c r="C11" s="44"/>
      <c r="D11" s="60" t="s">
        <v>147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3">
        <v>1.0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3">
        <v>7.0</v>
      </c>
      <c r="AJ11" s="61"/>
      <c r="AK11" s="61"/>
      <c r="AL11" s="63">
        <v>1.0</v>
      </c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3">
        <v>1.0</v>
      </c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3">
        <f t="shared" si="1"/>
        <v>10</v>
      </c>
      <c r="BS11" s="65"/>
    </row>
    <row r="12">
      <c r="A12" s="44"/>
      <c r="B12" s="44"/>
      <c r="C12" s="44"/>
      <c r="D12" s="60" t="s">
        <v>148</v>
      </c>
      <c r="E12" s="61"/>
      <c r="F12" s="61"/>
      <c r="G12" s="61"/>
      <c r="H12" s="61"/>
      <c r="I12" s="61"/>
      <c r="J12" s="61"/>
      <c r="K12" s="61"/>
      <c r="L12" s="61"/>
      <c r="M12" s="61"/>
      <c r="N12" s="63">
        <v>1.0</v>
      </c>
      <c r="O12" s="61"/>
      <c r="P12" s="61"/>
      <c r="Q12" s="61"/>
      <c r="R12" s="61"/>
      <c r="S12" s="61"/>
      <c r="T12" s="61"/>
      <c r="U12" s="61"/>
      <c r="V12" s="61"/>
      <c r="W12" s="63">
        <v>1.0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3">
        <v>9.0</v>
      </c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3">
        <v>1.0</v>
      </c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3">
        <f t="shared" si="1"/>
        <v>12</v>
      </c>
      <c r="BS12" s="65"/>
    </row>
    <row r="13">
      <c r="A13" s="44"/>
      <c r="B13" s="44"/>
      <c r="C13" s="44"/>
      <c r="D13" s="60" t="s">
        <v>149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3">
        <v>1.0</v>
      </c>
      <c r="X13" s="61"/>
      <c r="Y13" s="61"/>
      <c r="Z13" s="61"/>
      <c r="AA13" s="61"/>
      <c r="AB13" s="61"/>
      <c r="AC13" s="61"/>
      <c r="AD13" s="61"/>
      <c r="AE13" s="61"/>
      <c r="AF13" s="61"/>
      <c r="AG13" s="63">
        <v>1.0</v>
      </c>
      <c r="AH13" s="61"/>
      <c r="AI13" s="63">
        <v>8.0</v>
      </c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3">
        <f t="shared" si="1"/>
        <v>10</v>
      </c>
      <c r="BS13" s="65"/>
    </row>
    <row r="14">
      <c r="A14" s="44"/>
      <c r="B14" s="44"/>
      <c r="C14" s="44"/>
      <c r="D14" s="60" t="s">
        <v>150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3">
        <v>2.0</v>
      </c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3">
        <f t="shared" si="1"/>
        <v>2</v>
      </c>
      <c r="BS14" s="65"/>
    </row>
    <row r="15">
      <c r="A15" s="44"/>
      <c r="B15" s="44"/>
      <c r="C15" s="44"/>
      <c r="D15" s="60" t="s">
        <v>151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3">
        <v>1.0</v>
      </c>
      <c r="AJ15" s="61"/>
      <c r="AK15" s="61"/>
      <c r="AL15" s="63">
        <v>2.0</v>
      </c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3">
        <f t="shared" si="1"/>
        <v>3</v>
      </c>
      <c r="BS15" s="65"/>
    </row>
    <row r="16">
      <c r="A16" s="44"/>
      <c r="B16" s="44"/>
      <c r="C16" s="44"/>
      <c r="D16" s="60" t="s">
        <v>152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3">
        <v>7.0</v>
      </c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3">
        <v>1.0</v>
      </c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3">
        <f t="shared" si="1"/>
        <v>8</v>
      </c>
      <c r="BS16" s="65"/>
    </row>
    <row r="17">
      <c r="A17" s="44"/>
      <c r="B17" s="44"/>
      <c r="C17" s="44"/>
      <c r="D17" s="60" t="s">
        <v>153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3">
        <v>6.0</v>
      </c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3">
        <f t="shared" si="1"/>
        <v>6</v>
      </c>
      <c r="BS17" s="65"/>
    </row>
    <row r="18">
      <c r="A18" s="44"/>
      <c r="B18" s="44"/>
      <c r="C18" s="44"/>
      <c r="D18" s="60" t="s">
        <v>154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3">
        <v>2.0</v>
      </c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3">
        <f t="shared" si="1"/>
        <v>2</v>
      </c>
      <c r="BS18" s="65"/>
    </row>
    <row r="19">
      <c r="A19" s="44"/>
      <c r="B19" s="44"/>
      <c r="C19" s="44"/>
      <c r="D19" s="60" t="s">
        <v>155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3">
        <v>3.0</v>
      </c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3">
        <v>1.0</v>
      </c>
      <c r="AH19" s="61"/>
      <c r="AI19" s="63">
        <v>4.0</v>
      </c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3">
        <f t="shared" si="1"/>
        <v>8</v>
      </c>
      <c r="BS19" s="65"/>
    </row>
    <row r="20">
      <c r="A20" s="44"/>
      <c r="B20" s="44"/>
      <c r="C20" s="44"/>
      <c r="D20" s="60" t="s">
        <v>156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3">
        <v>1.0</v>
      </c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3">
        <f t="shared" si="1"/>
        <v>1</v>
      </c>
      <c r="BS20" s="65"/>
    </row>
    <row r="21">
      <c r="A21" s="44"/>
      <c r="B21" s="44"/>
      <c r="C21" s="44"/>
      <c r="D21" s="60" t="s">
        <v>104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3">
        <v>2.0</v>
      </c>
      <c r="AJ21" s="61"/>
      <c r="AK21" s="61"/>
      <c r="AL21" s="63">
        <v>1.0</v>
      </c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3">
        <f t="shared" si="1"/>
        <v>3</v>
      </c>
      <c r="BS21" s="65"/>
    </row>
    <row r="22">
      <c r="A22" s="28"/>
      <c r="B22" s="28"/>
      <c r="C22" s="28"/>
      <c r="D22" s="60" t="s">
        <v>157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3">
        <v>1.0</v>
      </c>
      <c r="AH22" s="61"/>
      <c r="AI22" s="63">
        <v>2.0</v>
      </c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3">
        <f t="shared" si="1"/>
        <v>3</v>
      </c>
      <c r="BS22" s="32"/>
    </row>
    <row r="23">
      <c r="A23" s="67"/>
      <c r="B23" s="67"/>
      <c r="C23" s="67"/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70"/>
    </row>
    <row r="24">
      <c r="A24" s="71" t="s">
        <v>158</v>
      </c>
      <c r="B24" s="71">
        <v>1.0</v>
      </c>
      <c r="C24" s="71" t="s">
        <v>159</v>
      </c>
      <c r="D24" s="52" t="s">
        <v>137</v>
      </c>
      <c r="E24" s="53"/>
      <c r="F24" s="53"/>
      <c r="G24" s="54">
        <v>1.0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4">
        <v>1.0</v>
      </c>
      <c r="BS24" s="72">
        <v>1.0</v>
      </c>
    </row>
    <row r="25">
      <c r="A25" s="68"/>
      <c r="B25" s="2"/>
      <c r="C25" s="2"/>
      <c r="D25" s="4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4"/>
    </row>
    <row r="26">
      <c r="A26" s="75" t="s">
        <v>160</v>
      </c>
      <c r="B26" s="75">
        <v>11.0</v>
      </c>
      <c r="C26" s="75" t="s">
        <v>161</v>
      </c>
      <c r="D26" s="52" t="s">
        <v>162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7">
        <v>2.0</v>
      </c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8">
        <f t="shared" ref="BR26:BR33" si="2">sum(E26:BQ26)</f>
        <v>2</v>
      </c>
      <c r="BS26" s="79">
        <f>sum(BR26:BR33)</f>
        <v>11</v>
      </c>
    </row>
    <row r="27">
      <c r="A27" s="44"/>
      <c r="B27" s="44"/>
      <c r="C27" s="44"/>
      <c r="D27" s="52" t="s">
        <v>163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4">
        <v>2.0</v>
      </c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80">
        <f t="shared" si="2"/>
        <v>2</v>
      </c>
      <c r="BS27" s="81"/>
    </row>
    <row r="28">
      <c r="A28" s="44"/>
      <c r="B28" s="44"/>
      <c r="C28" s="44"/>
      <c r="D28" s="52" t="s">
        <v>164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4">
        <v>1.0</v>
      </c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80">
        <f t="shared" si="2"/>
        <v>1</v>
      </c>
      <c r="BS28" s="81"/>
    </row>
    <row r="29">
      <c r="A29" s="44"/>
      <c r="B29" s="44"/>
      <c r="C29" s="44"/>
      <c r="D29" s="82" t="s">
        <v>165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4">
        <v>1.0</v>
      </c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8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80">
        <f t="shared" si="2"/>
        <v>1</v>
      </c>
      <c r="BS29" s="81"/>
    </row>
    <row r="30">
      <c r="A30" s="44"/>
      <c r="B30" s="44"/>
      <c r="C30" s="44"/>
      <c r="D30" s="82" t="s">
        <v>166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4">
        <v>1.0</v>
      </c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80">
        <f t="shared" si="2"/>
        <v>1</v>
      </c>
      <c r="BS30" s="81"/>
    </row>
    <row r="31">
      <c r="A31" s="44"/>
      <c r="B31" s="44"/>
      <c r="C31" s="44"/>
      <c r="D31" s="82" t="s">
        <v>167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4">
        <v>1.0</v>
      </c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4">
        <v>1.0</v>
      </c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4" t="s">
        <v>168</v>
      </c>
      <c r="BJ31" s="53"/>
      <c r="BK31" s="53"/>
      <c r="BL31" s="53"/>
      <c r="BM31" s="53"/>
      <c r="BN31" s="53"/>
      <c r="BO31" s="53"/>
      <c r="BP31" s="53"/>
      <c r="BQ31" s="53"/>
      <c r="BR31" s="80">
        <f t="shared" si="2"/>
        <v>2</v>
      </c>
      <c r="BS31" s="81"/>
    </row>
    <row r="32">
      <c r="A32" s="44"/>
      <c r="B32" s="44"/>
      <c r="C32" s="28"/>
      <c r="D32" s="82" t="s">
        <v>169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4">
        <v>1.0</v>
      </c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80">
        <f t="shared" si="2"/>
        <v>1</v>
      </c>
      <c r="BS32" s="81"/>
    </row>
    <row r="33">
      <c r="A33" s="28"/>
      <c r="B33" s="28"/>
      <c r="C33" s="84" t="s">
        <v>170</v>
      </c>
      <c r="D33" s="82" t="s">
        <v>171</v>
      </c>
      <c r="E33" s="53"/>
      <c r="F33" s="54">
        <v>1.0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80">
        <f t="shared" si="2"/>
        <v>1</v>
      </c>
      <c r="BS33" s="45"/>
    </row>
    <row r="34">
      <c r="A34" s="85"/>
      <c r="B34" s="2"/>
      <c r="C34" s="2"/>
      <c r="D34" s="4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86"/>
      <c r="BS34" s="86"/>
    </row>
    <row r="35">
      <c r="A35" s="51" t="s">
        <v>172</v>
      </c>
      <c r="B35" s="87">
        <v>30.0</v>
      </c>
      <c r="C35" s="51" t="s">
        <v>173</v>
      </c>
      <c r="D35" s="88" t="s">
        <v>137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4">
        <v>1.0</v>
      </c>
      <c r="BI35" s="53"/>
      <c r="BJ35" s="53"/>
      <c r="BK35" s="53"/>
      <c r="BL35" s="53"/>
      <c r="BM35" s="53"/>
      <c r="BN35" s="53"/>
      <c r="BO35" s="53"/>
      <c r="BP35" s="53"/>
      <c r="BQ35" s="53"/>
      <c r="BR35" s="80">
        <f t="shared" ref="BR35:BR59" si="3">sum(E35:BQ35)</f>
        <v>1</v>
      </c>
      <c r="BS35" s="79">
        <f>sum(BR35:BR59)</f>
        <v>30</v>
      </c>
    </row>
    <row r="36">
      <c r="A36" s="44"/>
      <c r="B36" s="89"/>
      <c r="C36" s="44"/>
      <c r="D36" s="88" t="s">
        <v>174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4">
        <v>1.0</v>
      </c>
      <c r="BI36" s="53"/>
      <c r="BJ36" s="53"/>
      <c r="BK36" s="53"/>
      <c r="BL36" s="53"/>
      <c r="BM36" s="53"/>
      <c r="BN36" s="53"/>
      <c r="BO36" s="53"/>
      <c r="BP36" s="53"/>
      <c r="BQ36" s="53"/>
      <c r="BR36" s="80">
        <f t="shared" si="3"/>
        <v>1</v>
      </c>
      <c r="BS36" s="81"/>
    </row>
    <row r="37">
      <c r="A37" s="44"/>
      <c r="B37" s="89"/>
      <c r="C37" s="28"/>
      <c r="D37" s="88" t="s">
        <v>175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4">
        <v>1.0</v>
      </c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80">
        <f t="shared" si="3"/>
        <v>1</v>
      </c>
      <c r="BS37" s="81"/>
    </row>
    <row r="38">
      <c r="A38" s="44"/>
      <c r="B38" s="89"/>
      <c r="C38" s="51" t="s">
        <v>170</v>
      </c>
      <c r="D38" s="88" t="s">
        <v>132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4">
        <v>1.0</v>
      </c>
      <c r="BI38" s="53"/>
      <c r="BJ38" s="53"/>
      <c r="BK38" s="53"/>
      <c r="BL38" s="53"/>
      <c r="BM38" s="53"/>
      <c r="BN38" s="53"/>
      <c r="BO38" s="53"/>
      <c r="BP38" s="53"/>
      <c r="BQ38" s="53"/>
      <c r="BR38" s="80">
        <f t="shared" si="3"/>
        <v>1</v>
      </c>
      <c r="BS38" s="81"/>
    </row>
    <row r="39">
      <c r="A39" s="44"/>
      <c r="B39" s="89"/>
      <c r="C39" s="44"/>
      <c r="D39" s="88" t="s">
        <v>97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4">
        <v>1.0</v>
      </c>
      <c r="BI39" s="53"/>
      <c r="BJ39" s="53"/>
      <c r="BK39" s="53"/>
      <c r="BL39" s="53"/>
      <c r="BM39" s="53"/>
      <c r="BN39" s="53"/>
      <c r="BO39" s="53"/>
      <c r="BP39" s="53"/>
      <c r="BQ39" s="53"/>
      <c r="BR39" s="80">
        <f t="shared" si="3"/>
        <v>1</v>
      </c>
      <c r="BS39" s="81"/>
    </row>
    <row r="40">
      <c r="A40" s="44"/>
      <c r="B40" s="89"/>
      <c r="C40" s="44"/>
      <c r="D40" s="88" t="s">
        <v>176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4">
        <v>1.0</v>
      </c>
      <c r="BI40" s="53"/>
      <c r="BJ40" s="53"/>
      <c r="BK40" s="53"/>
      <c r="BL40" s="53"/>
      <c r="BM40" s="53"/>
      <c r="BN40" s="53"/>
      <c r="BO40" s="53"/>
      <c r="BP40" s="53"/>
      <c r="BQ40" s="53"/>
      <c r="BR40" s="80">
        <f t="shared" si="3"/>
        <v>1</v>
      </c>
      <c r="BS40" s="81"/>
    </row>
    <row r="41">
      <c r="A41" s="44"/>
      <c r="B41" s="89"/>
      <c r="C41" s="44"/>
      <c r="D41" s="88" t="s">
        <v>177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4">
        <v>1.0</v>
      </c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80">
        <f t="shared" si="3"/>
        <v>1</v>
      </c>
      <c r="BS41" s="81"/>
    </row>
    <row r="42">
      <c r="A42" s="44"/>
      <c r="B42" s="89"/>
      <c r="C42" s="44"/>
      <c r="D42" s="88" t="s">
        <v>178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4">
        <v>2.0</v>
      </c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80">
        <f t="shared" si="3"/>
        <v>2</v>
      </c>
      <c r="BS42" s="81"/>
    </row>
    <row r="43">
      <c r="A43" s="44"/>
      <c r="B43" s="89"/>
      <c r="C43" s="28"/>
      <c r="D43" s="88" t="s">
        <v>179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4">
        <v>1.0</v>
      </c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80">
        <f t="shared" si="3"/>
        <v>1</v>
      </c>
      <c r="BS43" s="81"/>
    </row>
    <row r="44">
      <c r="A44" s="44"/>
      <c r="B44" s="89"/>
      <c r="C44" s="51" t="s">
        <v>180</v>
      </c>
      <c r="D44" s="88" t="s">
        <v>124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4">
        <v>1.0</v>
      </c>
      <c r="BI44" s="53"/>
      <c r="BJ44" s="53"/>
      <c r="BK44" s="53"/>
      <c r="BL44" s="53"/>
      <c r="BM44" s="53"/>
      <c r="BN44" s="53"/>
      <c r="BO44" s="53"/>
      <c r="BP44" s="53"/>
      <c r="BQ44" s="53"/>
      <c r="BR44" s="80">
        <f t="shared" si="3"/>
        <v>1</v>
      </c>
      <c r="BS44" s="81"/>
    </row>
    <row r="45">
      <c r="A45" s="44"/>
      <c r="B45" s="89"/>
      <c r="C45" s="44"/>
      <c r="D45" s="88" t="s">
        <v>181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90"/>
      <c r="S45" s="53"/>
      <c r="T45" s="53"/>
      <c r="U45" s="53"/>
      <c r="V45" s="54">
        <v>2.0</v>
      </c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80">
        <f t="shared" si="3"/>
        <v>2</v>
      </c>
      <c r="BS45" s="81"/>
    </row>
    <row r="46">
      <c r="A46" s="44"/>
      <c r="B46" s="89"/>
      <c r="C46" s="44"/>
      <c r="D46" s="88" t="s">
        <v>182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90"/>
      <c r="S46" s="53"/>
      <c r="T46" s="53"/>
      <c r="U46" s="53"/>
      <c r="V46" s="54">
        <v>1.0</v>
      </c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80">
        <f t="shared" si="3"/>
        <v>1</v>
      </c>
      <c r="BS46" s="81"/>
    </row>
    <row r="47">
      <c r="A47" s="44"/>
      <c r="B47" s="89"/>
      <c r="C47" s="44"/>
      <c r="D47" s="88" t="s">
        <v>137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90"/>
      <c r="S47" s="53"/>
      <c r="T47" s="53"/>
      <c r="U47" s="53"/>
      <c r="V47" s="54">
        <v>1.0</v>
      </c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80">
        <f t="shared" si="3"/>
        <v>1</v>
      </c>
      <c r="BS47" s="81"/>
    </row>
    <row r="48">
      <c r="A48" s="44"/>
      <c r="B48" s="89"/>
      <c r="C48" s="44"/>
      <c r="D48" s="88" t="s">
        <v>119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90"/>
      <c r="S48" s="53"/>
      <c r="T48" s="53"/>
      <c r="U48" s="53"/>
      <c r="V48" s="54">
        <v>1.0</v>
      </c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80">
        <f t="shared" si="3"/>
        <v>1</v>
      </c>
      <c r="BS48" s="81"/>
    </row>
    <row r="49">
      <c r="A49" s="44"/>
      <c r="B49" s="89"/>
      <c r="C49" s="44"/>
      <c r="D49" s="88" t="s">
        <v>183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90"/>
      <c r="S49" s="53"/>
      <c r="T49" s="53"/>
      <c r="U49" s="53"/>
      <c r="V49" s="54">
        <v>1.0</v>
      </c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80">
        <f t="shared" si="3"/>
        <v>1</v>
      </c>
      <c r="BS49" s="81"/>
    </row>
    <row r="50">
      <c r="A50" s="44"/>
      <c r="B50" s="89"/>
      <c r="C50" s="44"/>
      <c r="D50" s="88" t="s">
        <v>115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90"/>
      <c r="S50" s="53"/>
      <c r="T50" s="53"/>
      <c r="U50" s="53"/>
      <c r="V50" s="54">
        <v>1.0</v>
      </c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80">
        <f t="shared" si="3"/>
        <v>1</v>
      </c>
      <c r="BS50" s="81"/>
    </row>
    <row r="51">
      <c r="A51" s="44"/>
      <c r="B51" s="89"/>
      <c r="C51" s="28"/>
      <c r="D51" s="88" t="s">
        <v>184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90"/>
      <c r="S51" s="53"/>
      <c r="T51" s="53"/>
      <c r="U51" s="53"/>
      <c r="V51" s="54">
        <v>1.0</v>
      </c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80">
        <f t="shared" si="3"/>
        <v>1</v>
      </c>
      <c r="BS51" s="81"/>
    </row>
    <row r="52">
      <c r="A52" s="44"/>
      <c r="B52" s="89"/>
      <c r="C52" s="91" t="s">
        <v>185</v>
      </c>
      <c r="D52" s="88" t="s">
        <v>107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90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4">
        <v>1.0</v>
      </c>
      <c r="BI52" s="53"/>
      <c r="BJ52" s="53"/>
      <c r="BK52" s="53"/>
      <c r="BL52" s="53"/>
      <c r="BM52" s="53"/>
      <c r="BN52" s="53"/>
      <c r="BO52" s="53"/>
      <c r="BP52" s="53"/>
      <c r="BQ52" s="53"/>
      <c r="BR52" s="80">
        <f t="shared" si="3"/>
        <v>1</v>
      </c>
      <c r="BS52" s="81"/>
    </row>
    <row r="53">
      <c r="A53" s="44"/>
      <c r="B53" s="89"/>
      <c r="C53" s="51" t="s">
        <v>186</v>
      </c>
      <c r="D53" s="88" t="s">
        <v>111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92"/>
      <c r="R53" s="93"/>
      <c r="S53" s="94"/>
      <c r="T53" s="53"/>
      <c r="U53" s="53"/>
      <c r="V53" s="53"/>
      <c r="W53" s="54">
        <v>1.0</v>
      </c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80">
        <f t="shared" si="3"/>
        <v>1</v>
      </c>
      <c r="BS53" s="81"/>
    </row>
    <row r="54">
      <c r="A54" s="44"/>
      <c r="B54" s="89"/>
      <c r="C54" s="44"/>
      <c r="D54" s="95" t="s">
        <v>187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76"/>
      <c r="S54" s="53"/>
      <c r="T54" s="53"/>
      <c r="U54" s="53"/>
      <c r="V54" s="54">
        <v>3.0</v>
      </c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80">
        <f t="shared" si="3"/>
        <v>3</v>
      </c>
      <c r="BS54" s="81"/>
    </row>
    <row r="55">
      <c r="A55" s="44"/>
      <c r="B55" s="89"/>
      <c r="C55" s="44"/>
      <c r="D55" s="95" t="s">
        <v>188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76"/>
      <c r="S55" s="53"/>
      <c r="T55" s="53"/>
      <c r="U55" s="53"/>
      <c r="V55" s="53"/>
      <c r="W55" s="54">
        <v>1.0</v>
      </c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80">
        <f t="shared" si="3"/>
        <v>1</v>
      </c>
      <c r="BS55" s="81"/>
    </row>
    <row r="56">
      <c r="A56" s="44"/>
      <c r="B56" s="89"/>
      <c r="C56" s="44"/>
      <c r="D56" s="95" t="s">
        <v>109</v>
      </c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76"/>
      <c r="S56" s="53"/>
      <c r="T56" s="53"/>
      <c r="U56" s="53"/>
      <c r="V56" s="54">
        <v>1.0</v>
      </c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80">
        <f t="shared" si="3"/>
        <v>1</v>
      </c>
      <c r="BS56" s="81"/>
    </row>
    <row r="57">
      <c r="A57" s="44"/>
      <c r="B57" s="89"/>
      <c r="C57" s="44"/>
      <c r="D57" s="95" t="s">
        <v>189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76"/>
      <c r="S57" s="53"/>
      <c r="T57" s="53"/>
      <c r="U57" s="53"/>
      <c r="V57" s="53"/>
      <c r="W57" s="54">
        <v>1.0</v>
      </c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80">
        <f t="shared" si="3"/>
        <v>1</v>
      </c>
      <c r="BS57" s="81"/>
    </row>
    <row r="58">
      <c r="A58" s="44"/>
      <c r="B58" s="89"/>
      <c r="C58" s="28"/>
      <c r="D58" s="95" t="s">
        <v>112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76"/>
      <c r="S58" s="53"/>
      <c r="T58" s="53"/>
      <c r="U58" s="53"/>
      <c r="V58" s="53"/>
      <c r="W58" s="54">
        <v>2.0</v>
      </c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80">
        <f t="shared" si="3"/>
        <v>2</v>
      </c>
      <c r="BS58" s="81"/>
    </row>
    <row r="59">
      <c r="A59" s="28"/>
      <c r="B59" s="29"/>
      <c r="C59" s="91" t="s">
        <v>190</v>
      </c>
      <c r="D59" s="95" t="s">
        <v>191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4">
        <v>1.0</v>
      </c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80">
        <f t="shared" si="3"/>
        <v>1</v>
      </c>
      <c r="BS59" s="45"/>
    </row>
    <row r="60">
      <c r="A60" s="48"/>
      <c r="B60" s="2"/>
      <c r="C60" s="2"/>
      <c r="D60" s="2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86"/>
      <c r="BS60" s="86"/>
    </row>
    <row r="61">
      <c r="A61" s="96" t="s">
        <v>192</v>
      </c>
      <c r="B61" s="97">
        <v>100.0</v>
      </c>
      <c r="C61" s="97" t="s">
        <v>193</v>
      </c>
      <c r="D61" s="98" t="s">
        <v>194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100">
        <v>5.0</v>
      </c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101">
        <f t="shared" ref="BR61:BR120" si="4">sum(E61:BQ61)</f>
        <v>5</v>
      </c>
      <c r="BS61" s="102">
        <f>sum(BR61:BR120)</f>
        <v>100</v>
      </c>
    </row>
    <row r="62">
      <c r="A62" s="89"/>
      <c r="B62" s="44"/>
      <c r="C62" s="44"/>
      <c r="D62" s="98" t="s">
        <v>195</v>
      </c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100">
        <v>2.0</v>
      </c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101">
        <f t="shared" si="4"/>
        <v>2</v>
      </c>
      <c r="BS62" s="81"/>
    </row>
    <row r="63">
      <c r="A63" s="89"/>
      <c r="B63" s="44"/>
      <c r="C63" s="44"/>
      <c r="D63" s="98" t="s">
        <v>196</v>
      </c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100">
        <v>2.0</v>
      </c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101">
        <f t="shared" si="4"/>
        <v>2</v>
      </c>
      <c r="BS63" s="81"/>
    </row>
    <row r="64">
      <c r="A64" s="89"/>
      <c r="B64" s="44"/>
      <c r="C64" s="28"/>
      <c r="D64" s="98" t="s">
        <v>197</v>
      </c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100">
        <v>1.0</v>
      </c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101">
        <f t="shared" si="4"/>
        <v>1</v>
      </c>
      <c r="BS64" s="81"/>
    </row>
    <row r="65">
      <c r="A65" s="89"/>
      <c r="B65" s="44"/>
      <c r="C65" s="97" t="s">
        <v>190</v>
      </c>
      <c r="D65" s="98" t="s">
        <v>191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100">
        <v>1.0</v>
      </c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101">
        <f t="shared" si="4"/>
        <v>1</v>
      </c>
      <c r="BS65" s="81"/>
    </row>
    <row r="66">
      <c r="A66" s="89"/>
      <c r="B66" s="44"/>
      <c r="C66" s="44"/>
      <c r="D66" s="98" t="s">
        <v>198</v>
      </c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100">
        <v>1.0</v>
      </c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101">
        <f t="shared" si="4"/>
        <v>1</v>
      </c>
      <c r="BS66" s="81"/>
    </row>
    <row r="67">
      <c r="A67" s="89"/>
      <c r="B67" s="44"/>
      <c r="C67" s="44"/>
      <c r="D67" s="98" t="s">
        <v>165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100">
        <v>1.0</v>
      </c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101">
        <f t="shared" si="4"/>
        <v>1</v>
      </c>
      <c r="BS67" s="81"/>
    </row>
    <row r="68">
      <c r="A68" s="89"/>
      <c r="B68" s="44"/>
      <c r="C68" s="44"/>
      <c r="D68" s="98" t="s">
        <v>199</v>
      </c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>
        <v>1.0</v>
      </c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101">
        <f t="shared" si="4"/>
        <v>1</v>
      </c>
      <c r="BS68" s="81"/>
    </row>
    <row r="69">
      <c r="A69" s="89"/>
      <c r="B69" s="44"/>
      <c r="C69" s="44"/>
      <c r="D69" s="98" t="s">
        <v>200</v>
      </c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100">
        <v>1.0</v>
      </c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101">
        <f t="shared" si="4"/>
        <v>1</v>
      </c>
      <c r="BS69" s="81"/>
    </row>
    <row r="70">
      <c r="A70" s="89"/>
      <c r="B70" s="44"/>
      <c r="C70" s="28"/>
      <c r="D70" s="98" t="s">
        <v>97</v>
      </c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100">
        <v>1.0</v>
      </c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101">
        <f t="shared" si="4"/>
        <v>1</v>
      </c>
      <c r="BS70" s="81"/>
    </row>
    <row r="71">
      <c r="A71" s="89"/>
      <c r="B71" s="44"/>
      <c r="C71" s="97" t="s">
        <v>170</v>
      </c>
      <c r="D71" s="98" t="s">
        <v>177</v>
      </c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100">
        <v>1.0</v>
      </c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101">
        <f t="shared" si="4"/>
        <v>1</v>
      </c>
      <c r="BS71" s="81"/>
    </row>
    <row r="72">
      <c r="A72" s="89"/>
      <c r="B72" s="44"/>
      <c r="C72" s="44"/>
      <c r="D72" s="98" t="s">
        <v>179</v>
      </c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100">
        <v>1.0</v>
      </c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101">
        <f t="shared" si="4"/>
        <v>1</v>
      </c>
      <c r="BS72" s="81"/>
    </row>
    <row r="73">
      <c r="A73" s="89"/>
      <c r="B73" s="44"/>
      <c r="C73" s="44"/>
      <c r="D73" s="98" t="s">
        <v>201</v>
      </c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100">
        <v>1.0</v>
      </c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101">
        <f t="shared" si="4"/>
        <v>1</v>
      </c>
      <c r="BS73" s="81"/>
    </row>
    <row r="74">
      <c r="A74" s="89"/>
      <c r="B74" s="44"/>
      <c r="C74" s="44"/>
      <c r="D74" s="98" t="s">
        <v>202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100">
        <v>1.0</v>
      </c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101">
        <f t="shared" si="4"/>
        <v>1</v>
      </c>
      <c r="BS74" s="81"/>
    </row>
    <row r="75">
      <c r="A75" s="89"/>
      <c r="B75" s="44"/>
      <c r="C75" s="44"/>
      <c r="D75" s="98" t="s">
        <v>203</v>
      </c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103"/>
      <c r="AM75" s="103"/>
      <c r="AN75" s="103"/>
      <c r="AO75" s="103"/>
      <c r="AP75" s="99"/>
      <c r="AQ75" s="99"/>
      <c r="AR75" s="99"/>
      <c r="AS75" s="99"/>
      <c r="AT75" s="99"/>
      <c r="AU75" s="100">
        <v>1.0</v>
      </c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101">
        <f t="shared" si="4"/>
        <v>1</v>
      </c>
      <c r="BS75" s="81"/>
    </row>
    <row r="76">
      <c r="A76" s="89"/>
      <c r="B76" s="44"/>
      <c r="C76" s="44"/>
      <c r="D76" s="98" t="s">
        <v>204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104"/>
      <c r="AL76" s="9"/>
      <c r="AM76" s="105"/>
      <c r="AN76" s="105"/>
      <c r="AO76" s="105"/>
      <c r="AP76" s="105"/>
      <c r="AQ76" s="99"/>
      <c r="AR76" s="99"/>
      <c r="AS76" s="99"/>
      <c r="AT76" s="99"/>
      <c r="AU76" s="100">
        <v>1.0</v>
      </c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101">
        <f t="shared" si="4"/>
        <v>1</v>
      </c>
      <c r="BS76" s="81"/>
    </row>
    <row r="77">
      <c r="A77" s="89"/>
      <c r="B77" s="44"/>
      <c r="C77" s="44"/>
      <c r="D77" s="98" t="s">
        <v>96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104"/>
      <c r="AL77" s="99"/>
      <c r="AM77" s="105"/>
      <c r="AN77" s="105"/>
      <c r="AO77" s="105"/>
      <c r="AP77" s="105"/>
      <c r="AQ77" s="99"/>
      <c r="AR77" s="99"/>
      <c r="AS77" s="99"/>
      <c r="AT77" s="99"/>
      <c r="AU77" s="100">
        <v>1.0</v>
      </c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101">
        <f t="shared" si="4"/>
        <v>1</v>
      </c>
      <c r="BS77" s="81"/>
    </row>
    <row r="78">
      <c r="A78" s="89"/>
      <c r="B78" s="44"/>
      <c r="C78" s="44"/>
      <c r="D78" s="98" t="s">
        <v>171</v>
      </c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104"/>
      <c r="AL78" s="99"/>
      <c r="AM78" s="105"/>
      <c r="AN78" s="105"/>
      <c r="AO78" s="105"/>
      <c r="AP78" s="105"/>
      <c r="AQ78" s="99"/>
      <c r="AR78" s="99"/>
      <c r="AS78" s="99"/>
      <c r="AT78" s="99"/>
      <c r="AU78" s="100">
        <v>1.0</v>
      </c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101">
        <f t="shared" si="4"/>
        <v>1</v>
      </c>
      <c r="BS78" s="81"/>
    </row>
    <row r="79">
      <c r="A79" s="89"/>
      <c r="B79" s="44"/>
      <c r="C79" s="28"/>
      <c r="D79" s="98" t="s">
        <v>205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106"/>
      <c r="AM79" s="106"/>
      <c r="AN79" s="106"/>
      <c r="AO79" s="106"/>
      <c r="AP79" s="99"/>
      <c r="AQ79" s="99"/>
      <c r="AR79" s="99"/>
      <c r="AS79" s="99"/>
      <c r="AT79" s="99"/>
      <c r="AU79" s="100">
        <v>1.0</v>
      </c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101">
        <f t="shared" si="4"/>
        <v>1</v>
      </c>
      <c r="BS79" s="81"/>
    </row>
    <row r="80">
      <c r="A80" s="89"/>
      <c r="B80" s="44"/>
      <c r="C80" s="97" t="s">
        <v>206</v>
      </c>
      <c r="D80" s="98" t="s">
        <v>207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100">
        <v>1.0</v>
      </c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101">
        <f t="shared" si="4"/>
        <v>1</v>
      </c>
      <c r="BS80" s="81"/>
    </row>
    <row r="81">
      <c r="A81" s="89"/>
      <c r="B81" s="44"/>
      <c r="C81" s="44"/>
      <c r="D81" s="98" t="s">
        <v>208</v>
      </c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100">
        <v>1.0</v>
      </c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101">
        <f t="shared" si="4"/>
        <v>1</v>
      </c>
      <c r="BS81" s="81"/>
    </row>
    <row r="82">
      <c r="A82" s="89"/>
      <c r="B82" s="44"/>
      <c r="C82" s="44"/>
      <c r="D82" s="98" t="s">
        <v>209</v>
      </c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100">
        <v>2.0</v>
      </c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101">
        <f t="shared" si="4"/>
        <v>2</v>
      </c>
      <c r="BS82" s="81"/>
    </row>
    <row r="83">
      <c r="A83" s="89"/>
      <c r="B83" s="44"/>
      <c r="C83" s="28"/>
      <c r="D83" s="98" t="s">
        <v>210</v>
      </c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100">
        <v>1.0</v>
      </c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101">
        <f t="shared" si="4"/>
        <v>1</v>
      </c>
      <c r="BS83" s="81"/>
    </row>
    <row r="84">
      <c r="A84" s="89"/>
      <c r="B84" s="44"/>
      <c r="C84" s="97" t="s">
        <v>211</v>
      </c>
      <c r="D84" s="98" t="s">
        <v>147</v>
      </c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100">
        <v>2.0</v>
      </c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101">
        <f t="shared" si="4"/>
        <v>2</v>
      </c>
      <c r="BS84" s="81"/>
    </row>
    <row r="85">
      <c r="A85" s="89"/>
      <c r="B85" s="44"/>
      <c r="C85" s="44"/>
      <c r="D85" s="98" t="s">
        <v>107</v>
      </c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100">
        <v>1.0</v>
      </c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101">
        <f t="shared" si="4"/>
        <v>1</v>
      </c>
      <c r="BS85" s="81"/>
    </row>
    <row r="86">
      <c r="A86" s="89"/>
      <c r="B86" s="44"/>
      <c r="C86" s="28"/>
      <c r="D86" s="107" t="s">
        <v>156</v>
      </c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100">
        <v>2.0</v>
      </c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101">
        <f t="shared" si="4"/>
        <v>2</v>
      </c>
      <c r="BS86" s="81"/>
    </row>
    <row r="87">
      <c r="A87" s="89"/>
      <c r="B87" s="44"/>
      <c r="C87" s="96" t="s">
        <v>159</v>
      </c>
      <c r="D87" s="108" t="s">
        <v>212</v>
      </c>
      <c r="E87" s="105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100">
        <v>2.0</v>
      </c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101">
        <f t="shared" si="4"/>
        <v>2</v>
      </c>
      <c r="BS87" s="81"/>
    </row>
    <row r="88">
      <c r="A88" s="89"/>
      <c r="B88" s="44"/>
      <c r="C88" s="89"/>
      <c r="D88" s="109" t="s">
        <v>213</v>
      </c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100">
        <v>5.0</v>
      </c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101">
        <f t="shared" si="4"/>
        <v>5</v>
      </c>
      <c r="BS88" s="81"/>
    </row>
    <row r="89">
      <c r="A89" s="89"/>
      <c r="B89" s="44"/>
      <c r="C89" s="89"/>
      <c r="D89" s="110" t="s">
        <v>120</v>
      </c>
      <c r="E89" s="105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100">
        <v>6.0</v>
      </c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101">
        <f t="shared" si="4"/>
        <v>6</v>
      </c>
      <c r="BS89" s="81"/>
    </row>
    <row r="90">
      <c r="A90" s="89"/>
      <c r="B90" s="44"/>
      <c r="C90" s="89"/>
      <c r="D90" s="110" t="s">
        <v>182</v>
      </c>
      <c r="E90" s="105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100">
        <v>2.0</v>
      </c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101">
        <f t="shared" si="4"/>
        <v>2</v>
      </c>
      <c r="BS90" s="81"/>
    </row>
    <row r="91">
      <c r="A91" s="89"/>
      <c r="B91" s="44"/>
      <c r="C91" s="89"/>
      <c r="D91" s="110" t="s">
        <v>183</v>
      </c>
      <c r="E91" s="105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100">
        <v>2.0</v>
      </c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101">
        <f t="shared" si="4"/>
        <v>2</v>
      </c>
      <c r="BS91" s="81"/>
    </row>
    <row r="92">
      <c r="A92" s="89"/>
      <c r="B92" s="44"/>
      <c r="C92" s="89"/>
      <c r="D92" s="110" t="s">
        <v>214</v>
      </c>
      <c r="E92" s="105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100">
        <v>1.0</v>
      </c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101">
        <f t="shared" si="4"/>
        <v>1</v>
      </c>
      <c r="BS92" s="81"/>
    </row>
    <row r="93">
      <c r="A93" s="89"/>
      <c r="B93" s="44"/>
      <c r="C93" s="89"/>
      <c r="D93" s="98" t="s">
        <v>215</v>
      </c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100">
        <v>2.0</v>
      </c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101">
        <f t="shared" si="4"/>
        <v>2</v>
      </c>
      <c r="BS93" s="81"/>
    </row>
    <row r="94">
      <c r="A94" s="89"/>
      <c r="B94" s="44"/>
      <c r="C94" s="89"/>
      <c r="D94" s="98" t="s">
        <v>216</v>
      </c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100">
        <v>1.0</v>
      </c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101">
        <f t="shared" si="4"/>
        <v>1</v>
      </c>
      <c r="BS94" s="81"/>
    </row>
    <row r="95">
      <c r="A95" s="89"/>
      <c r="B95" s="44"/>
      <c r="C95" s="29"/>
      <c r="D95" s="98" t="s">
        <v>127</v>
      </c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100">
        <v>1.0</v>
      </c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101">
        <f t="shared" si="4"/>
        <v>1</v>
      </c>
      <c r="BS95" s="81"/>
    </row>
    <row r="96">
      <c r="A96" s="89"/>
      <c r="B96" s="44"/>
      <c r="C96" s="111" t="s">
        <v>217</v>
      </c>
      <c r="D96" s="98" t="s">
        <v>218</v>
      </c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100">
        <v>5.0</v>
      </c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101">
        <f t="shared" si="4"/>
        <v>5</v>
      </c>
      <c r="BS96" s="81"/>
    </row>
    <row r="97">
      <c r="A97" s="89"/>
      <c r="B97" s="44"/>
      <c r="C97" s="96" t="s">
        <v>186</v>
      </c>
      <c r="D97" s="98" t="s">
        <v>219</v>
      </c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100">
        <v>1.0</v>
      </c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101">
        <f t="shared" si="4"/>
        <v>1</v>
      </c>
      <c r="BS97" s="81"/>
    </row>
    <row r="98">
      <c r="A98" s="89"/>
      <c r="B98" s="44"/>
      <c r="C98" s="89"/>
      <c r="D98" s="98" t="s">
        <v>220</v>
      </c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100">
        <v>1.0</v>
      </c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101">
        <f t="shared" si="4"/>
        <v>1</v>
      </c>
      <c r="BS98" s="81"/>
    </row>
    <row r="99">
      <c r="A99" s="89"/>
      <c r="B99" s="44"/>
      <c r="C99" s="29"/>
      <c r="D99" s="98" t="s">
        <v>221</v>
      </c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100">
        <v>1.0</v>
      </c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101">
        <f t="shared" si="4"/>
        <v>1</v>
      </c>
      <c r="BS99" s="81"/>
    </row>
    <row r="100">
      <c r="A100" s="89"/>
      <c r="B100" s="44"/>
      <c r="C100" s="96" t="s">
        <v>222</v>
      </c>
      <c r="D100" s="98" t="s">
        <v>223</v>
      </c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100">
        <v>3.0</v>
      </c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101">
        <f t="shared" si="4"/>
        <v>3</v>
      </c>
      <c r="BS100" s="81"/>
    </row>
    <row r="101">
      <c r="A101" s="89"/>
      <c r="B101" s="44"/>
      <c r="C101" s="29"/>
      <c r="D101" s="98" t="s">
        <v>224</v>
      </c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100">
        <v>1.0</v>
      </c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101">
        <f t="shared" si="4"/>
        <v>1</v>
      </c>
      <c r="BS101" s="81"/>
    </row>
    <row r="102">
      <c r="A102" s="89"/>
      <c r="B102" s="44"/>
      <c r="C102" s="96" t="s">
        <v>225</v>
      </c>
      <c r="D102" s="98" t="s">
        <v>226</v>
      </c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100">
        <v>2.0</v>
      </c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101">
        <f t="shared" si="4"/>
        <v>2</v>
      </c>
      <c r="BS102" s="81"/>
    </row>
    <row r="103">
      <c r="A103" s="89"/>
      <c r="B103" s="44"/>
      <c r="C103" s="89"/>
      <c r="D103" s="98" t="s">
        <v>227</v>
      </c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100">
        <v>2.0</v>
      </c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101">
        <f t="shared" si="4"/>
        <v>2</v>
      </c>
      <c r="BS103" s="81"/>
    </row>
    <row r="104">
      <c r="A104" s="89"/>
      <c r="B104" s="44"/>
      <c r="C104" s="29"/>
      <c r="D104" s="98" t="s">
        <v>228</v>
      </c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100">
        <v>1.0</v>
      </c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101">
        <f t="shared" si="4"/>
        <v>1</v>
      </c>
      <c r="BS104" s="81"/>
    </row>
    <row r="105">
      <c r="A105" s="89"/>
      <c r="B105" s="44"/>
      <c r="C105" s="96" t="s">
        <v>229</v>
      </c>
      <c r="D105" s="98" t="s">
        <v>230</v>
      </c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100">
        <v>1.0</v>
      </c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101">
        <f t="shared" si="4"/>
        <v>1</v>
      </c>
      <c r="BS105" s="81"/>
    </row>
    <row r="106">
      <c r="A106" s="89"/>
      <c r="B106" s="44"/>
      <c r="C106" s="29"/>
      <c r="D106" s="98" t="s">
        <v>231</v>
      </c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100">
        <v>2.0</v>
      </c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101">
        <f t="shared" si="4"/>
        <v>2</v>
      </c>
      <c r="BS106" s="81"/>
    </row>
    <row r="107">
      <c r="A107" s="89"/>
      <c r="B107" s="44"/>
      <c r="C107" s="96" t="s">
        <v>232</v>
      </c>
      <c r="D107" s="98" t="s">
        <v>233</v>
      </c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100">
        <v>3.0</v>
      </c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101">
        <f t="shared" si="4"/>
        <v>3</v>
      </c>
      <c r="BS107" s="81"/>
    </row>
    <row r="108">
      <c r="A108" s="89"/>
      <c r="B108" s="44"/>
      <c r="C108" s="89"/>
      <c r="D108" s="98" t="s">
        <v>234</v>
      </c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100">
        <v>1.0</v>
      </c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101">
        <f t="shared" si="4"/>
        <v>1</v>
      </c>
      <c r="BS108" s="81"/>
    </row>
    <row r="109">
      <c r="A109" s="89"/>
      <c r="B109" s="44"/>
      <c r="C109" s="29"/>
      <c r="D109" s="98" t="s">
        <v>235</v>
      </c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100">
        <v>1.0</v>
      </c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101">
        <f t="shared" si="4"/>
        <v>1</v>
      </c>
      <c r="BS109" s="81"/>
    </row>
    <row r="110">
      <c r="A110" s="89"/>
      <c r="B110" s="44"/>
      <c r="C110" s="96" t="s">
        <v>173</v>
      </c>
      <c r="D110" s="98" t="s">
        <v>175</v>
      </c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100">
        <v>1.0</v>
      </c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101">
        <f t="shared" si="4"/>
        <v>1</v>
      </c>
      <c r="BS110" s="81"/>
    </row>
    <row r="111">
      <c r="A111" s="89"/>
      <c r="B111" s="44"/>
      <c r="C111" s="89"/>
      <c r="D111" s="98" t="s">
        <v>236</v>
      </c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100">
        <v>2.0</v>
      </c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101">
        <f t="shared" si="4"/>
        <v>2</v>
      </c>
      <c r="BS111" s="81"/>
    </row>
    <row r="112">
      <c r="A112" s="89"/>
      <c r="B112" s="44"/>
      <c r="C112" s="29"/>
      <c r="D112" s="98" t="s">
        <v>237</v>
      </c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100">
        <v>2.0</v>
      </c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101">
        <f t="shared" si="4"/>
        <v>2</v>
      </c>
      <c r="BS112" s="81"/>
    </row>
    <row r="113">
      <c r="A113" s="89"/>
      <c r="B113" s="44"/>
      <c r="C113" s="96" t="s">
        <v>238</v>
      </c>
      <c r="D113" s="98" t="s">
        <v>107</v>
      </c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100">
        <v>1.0</v>
      </c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101">
        <f t="shared" si="4"/>
        <v>1</v>
      </c>
      <c r="BS113" s="81"/>
    </row>
    <row r="114">
      <c r="A114" s="89"/>
      <c r="B114" s="44"/>
      <c r="C114" s="89"/>
      <c r="D114" s="98" t="s">
        <v>239</v>
      </c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100">
        <v>2.0</v>
      </c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101">
        <f t="shared" si="4"/>
        <v>2</v>
      </c>
      <c r="BS114" s="81"/>
    </row>
    <row r="115">
      <c r="A115" s="89"/>
      <c r="B115" s="44"/>
      <c r="C115" s="89"/>
      <c r="D115" s="98" t="s">
        <v>240</v>
      </c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100">
        <v>3.0</v>
      </c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101">
        <f t="shared" si="4"/>
        <v>3</v>
      </c>
      <c r="BS115" s="81"/>
    </row>
    <row r="116">
      <c r="A116" s="89"/>
      <c r="B116" s="44"/>
      <c r="C116" s="29"/>
      <c r="D116" s="107" t="s">
        <v>241</v>
      </c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100">
        <v>1.0</v>
      </c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101">
        <f t="shared" si="4"/>
        <v>1</v>
      </c>
      <c r="BS116" s="81"/>
    </row>
    <row r="117">
      <c r="A117" s="89"/>
      <c r="B117" s="44"/>
      <c r="C117" s="107" t="s">
        <v>242</v>
      </c>
      <c r="D117" s="110" t="s">
        <v>243</v>
      </c>
      <c r="E117" s="105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100">
        <v>2.0</v>
      </c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101">
        <f t="shared" si="4"/>
        <v>2</v>
      </c>
      <c r="BS117" s="81"/>
    </row>
    <row r="118">
      <c r="A118" s="89"/>
      <c r="B118" s="44"/>
      <c r="C118" s="89"/>
      <c r="D118" s="112" t="s">
        <v>244</v>
      </c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100">
        <v>2.0</v>
      </c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101">
        <f t="shared" si="4"/>
        <v>2</v>
      </c>
      <c r="BS118" s="81"/>
    </row>
    <row r="119">
      <c r="A119" s="89"/>
      <c r="B119" s="44"/>
      <c r="C119" s="89"/>
      <c r="D119" s="98" t="s">
        <v>243</v>
      </c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100">
        <v>1.0</v>
      </c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101">
        <f t="shared" si="4"/>
        <v>1</v>
      </c>
      <c r="BS119" s="81"/>
    </row>
    <row r="120">
      <c r="A120" s="29"/>
      <c r="B120" s="28"/>
      <c r="C120" s="29"/>
      <c r="D120" s="98" t="s">
        <v>245</v>
      </c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100">
        <v>1.0</v>
      </c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101">
        <f t="shared" si="4"/>
        <v>1</v>
      </c>
      <c r="BS120" s="45"/>
    </row>
    <row r="121">
      <c r="A121" s="68"/>
      <c r="B121" s="2"/>
      <c r="C121" s="2"/>
      <c r="D121" s="2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113"/>
      <c r="BS121" s="113"/>
    </row>
    <row r="122">
      <c r="A122" s="51" t="s">
        <v>246</v>
      </c>
      <c r="B122" s="51">
        <v>10.0</v>
      </c>
      <c r="C122" s="51" t="s">
        <v>159</v>
      </c>
      <c r="D122" s="52" t="s">
        <v>247</v>
      </c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4">
        <v>1.0</v>
      </c>
      <c r="BI122" s="53"/>
      <c r="BJ122" s="53"/>
      <c r="BK122" s="53"/>
      <c r="BL122" s="53"/>
      <c r="BM122" s="53"/>
      <c r="BN122" s="53"/>
      <c r="BO122" s="53"/>
      <c r="BP122" s="53"/>
      <c r="BQ122" s="53"/>
      <c r="BR122" s="80">
        <f t="shared" ref="BR122:BR131" si="5">sum(E122:BQ122)</f>
        <v>1</v>
      </c>
      <c r="BS122" s="79">
        <f>sum(BR122:BR131)</f>
        <v>10</v>
      </c>
    </row>
    <row r="123">
      <c r="A123" s="44"/>
      <c r="B123" s="44"/>
      <c r="C123" s="44"/>
      <c r="D123" s="52" t="s">
        <v>120</v>
      </c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4">
        <v>1.0</v>
      </c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80">
        <f t="shared" si="5"/>
        <v>1</v>
      </c>
      <c r="BS123" s="81"/>
    </row>
    <row r="124">
      <c r="A124" s="44"/>
      <c r="B124" s="44"/>
      <c r="C124" s="28"/>
      <c r="D124" s="52" t="s">
        <v>183</v>
      </c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4">
        <v>1.0</v>
      </c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80">
        <f t="shared" si="5"/>
        <v>1</v>
      </c>
      <c r="BS124" s="81"/>
    </row>
    <row r="125">
      <c r="A125" s="44"/>
      <c r="B125" s="44"/>
      <c r="C125" s="51" t="s">
        <v>225</v>
      </c>
      <c r="D125" s="52" t="s">
        <v>248</v>
      </c>
      <c r="E125" s="53"/>
      <c r="F125" s="53"/>
      <c r="G125" s="53"/>
      <c r="H125" s="53"/>
      <c r="I125" s="53"/>
      <c r="J125" s="53"/>
      <c r="K125" s="54">
        <v>1.0</v>
      </c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80">
        <f t="shared" si="5"/>
        <v>1</v>
      </c>
      <c r="BS125" s="81"/>
    </row>
    <row r="126">
      <c r="A126" s="44"/>
      <c r="B126" s="44"/>
      <c r="C126" s="28"/>
      <c r="D126" s="52" t="s">
        <v>227</v>
      </c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4">
        <v>1.0</v>
      </c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80">
        <f t="shared" si="5"/>
        <v>1</v>
      </c>
      <c r="BS126" s="81"/>
    </row>
    <row r="127">
      <c r="A127" s="44"/>
      <c r="B127" s="44"/>
      <c r="C127" s="91" t="s">
        <v>249</v>
      </c>
      <c r="D127" s="52" t="s">
        <v>250</v>
      </c>
      <c r="E127" s="53"/>
      <c r="F127" s="53"/>
      <c r="G127" s="53"/>
      <c r="H127" s="53"/>
      <c r="I127" s="53"/>
      <c r="J127" s="53"/>
      <c r="K127" s="54">
        <v>1.0</v>
      </c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80">
        <f t="shared" si="5"/>
        <v>1</v>
      </c>
      <c r="BS127" s="81"/>
    </row>
    <row r="128">
      <c r="A128" s="44"/>
      <c r="B128" s="44"/>
      <c r="C128" s="91" t="s">
        <v>251</v>
      </c>
      <c r="D128" s="52" t="s">
        <v>223</v>
      </c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4">
        <v>1.0</v>
      </c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80">
        <f t="shared" si="5"/>
        <v>1</v>
      </c>
      <c r="BS128" s="81"/>
    </row>
    <row r="129">
      <c r="A129" s="44"/>
      <c r="B129" s="44"/>
      <c r="C129" s="91" t="s">
        <v>232</v>
      </c>
      <c r="D129" s="52" t="s">
        <v>252</v>
      </c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4">
        <v>1.0</v>
      </c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80">
        <f t="shared" si="5"/>
        <v>1</v>
      </c>
      <c r="BS129" s="81"/>
    </row>
    <row r="130">
      <c r="A130" s="44"/>
      <c r="B130" s="44"/>
      <c r="C130" s="91" t="s">
        <v>190</v>
      </c>
      <c r="D130" s="52" t="s">
        <v>253</v>
      </c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4">
        <v>1.0</v>
      </c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80">
        <f t="shared" si="5"/>
        <v>1</v>
      </c>
      <c r="BS130" s="81"/>
    </row>
    <row r="131">
      <c r="A131" s="28"/>
      <c r="B131" s="28"/>
      <c r="C131" s="91" t="s">
        <v>249</v>
      </c>
      <c r="D131" s="52" t="s">
        <v>254</v>
      </c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4">
        <v>1.0</v>
      </c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80">
        <f t="shared" si="5"/>
        <v>1</v>
      </c>
      <c r="BS131" s="45"/>
    </row>
    <row r="132">
      <c r="A132" s="68"/>
      <c r="B132" s="2"/>
      <c r="C132" s="2"/>
      <c r="D132" s="4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113"/>
      <c r="BS132" s="113"/>
    </row>
    <row r="133">
      <c r="A133" s="51" t="s">
        <v>255</v>
      </c>
      <c r="B133" s="51">
        <v>150.0</v>
      </c>
      <c r="C133" s="51" t="s">
        <v>238</v>
      </c>
      <c r="D133" s="52" t="s">
        <v>256</v>
      </c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4">
        <v>10.0</v>
      </c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80">
        <f t="shared" ref="BR133:BR161" si="6">sum(E133:BQ133)</f>
        <v>10</v>
      </c>
      <c r="BS133" s="79">
        <f>sum(BR133:BR161)</f>
        <v>150</v>
      </c>
    </row>
    <row r="134">
      <c r="A134" s="44"/>
      <c r="B134" s="44"/>
      <c r="C134" s="44"/>
      <c r="D134" s="52" t="s">
        <v>257</v>
      </c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4">
        <v>7.0</v>
      </c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80">
        <f t="shared" si="6"/>
        <v>7</v>
      </c>
      <c r="BS134" s="81"/>
    </row>
    <row r="135">
      <c r="A135" s="44"/>
      <c r="B135" s="44"/>
      <c r="C135" s="44"/>
      <c r="D135" s="52" t="s">
        <v>258</v>
      </c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4">
        <v>16.0</v>
      </c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80">
        <f t="shared" si="6"/>
        <v>16</v>
      </c>
      <c r="BS135" s="81"/>
    </row>
    <row r="136">
      <c r="A136" s="44"/>
      <c r="B136" s="44"/>
      <c r="C136" s="44"/>
      <c r="D136" s="52" t="s">
        <v>259</v>
      </c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4">
        <v>2.0</v>
      </c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80">
        <f t="shared" si="6"/>
        <v>2</v>
      </c>
      <c r="BS136" s="81"/>
    </row>
    <row r="137">
      <c r="A137" s="44"/>
      <c r="B137" s="44"/>
      <c r="C137" s="44"/>
      <c r="D137" s="52" t="s">
        <v>260</v>
      </c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4">
        <v>2.0</v>
      </c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80">
        <f t="shared" si="6"/>
        <v>2</v>
      </c>
      <c r="BS137" s="81"/>
    </row>
    <row r="138">
      <c r="A138" s="44"/>
      <c r="B138" s="44"/>
      <c r="C138" s="44"/>
      <c r="D138" s="52" t="s">
        <v>261</v>
      </c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4">
        <v>1.0</v>
      </c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80">
        <f t="shared" si="6"/>
        <v>1</v>
      </c>
      <c r="BS138" s="81"/>
    </row>
    <row r="139">
      <c r="A139" s="44"/>
      <c r="B139" s="44"/>
      <c r="C139" s="44"/>
      <c r="D139" s="52" t="s">
        <v>191</v>
      </c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4">
        <v>5.0</v>
      </c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80">
        <f t="shared" si="6"/>
        <v>5</v>
      </c>
      <c r="BS139" s="81"/>
    </row>
    <row r="140">
      <c r="A140" s="44"/>
      <c r="B140" s="44"/>
      <c r="C140" s="44"/>
      <c r="D140" s="52" t="s">
        <v>262</v>
      </c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4">
        <v>10.0</v>
      </c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80">
        <f t="shared" si="6"/>
        <v>10</v>
      </c>
      <c r="BS140" s="81"/>
    </row>
    <row r="141">
      <c r="A141" s="44"/>
      <c r="B141" s="44"/>
      <c r="C141" s="44"/>
      <c r="D141" s="52" t="s">
        <v>204</v>
      </c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4">
        <v>1.0</v>
      </c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80">
        <f t="shared" si="6"/>
        <v>1</v>
      </c>
      <c r="BS141" s="81"/>
    </row>
    <row r="142">
      <c r="A142" s="44"/>
      <c r="B142" s="44"/>
      <c r="C142" s="44"/>
      <c r="D142" s="52" t="s">
        <v>263</v>
      </c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4">
        <v>5.0</v>
      </c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80">
        <f t="shared" si="6"/>
        <v>5</v>
      </c>
      <c r="BS142" s="81"/>
    </row>
    <row r="143">
      <c r="A143" s="44"/>
      <c r="B143" s="44"/>
      <c r="C143" s="44"/>
      <c r="D143" s="52" t="s">
        <v>264</v>
      </c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4">
        <v>9.0</v>
      </c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80">
        <f t="shared" si="6"/>
        <v>9</v>
      </c>
      <c r="BS143" s="81"/>
    </row>
    <row r="144">
      <c r="A144" s="44"/>
      <c r="B144" s="44"/>
      <c r="C144" s="44"/>
      <c r="D144" s="52" t="s">
        <v>265</v>
      </c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4">
        <v>4.0</v>
      </c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80">
        <f t="shared" si="6"/>
        <v>4</v>
      </c>
      <c r="BS144" s="81"/>
    </row>
    <row r="145">
      <c r="A145" s="44"/>
      <c r="B145" s="44"/>
      <c r="C145" s="44"/>
      <c r="D145" s="52" t="s">
        <v>266</v>
      </c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4">
        <v>3.0</v>
      </c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80">
        <f t="shared" si="6"/>
        <v>3</v>
      </c>
      <c r="BS145" s="81"/>
    </row>
    <row r="146">
      <c r="A146" s="44"/>
      <c r="B146" s="44"/>
      <c r="C146" s="44"/>
      <c r="D146" s="82" t="s">
        <v>267</v>
      </c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4">
        <v>1.0</v>
      </c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80">
        <f t="shared" si="6"/>
        <v>1</v>
      </c>
      <c r="BS146" s="81"/>
    </row>
    <row r="147">
      <c r="A147" s="44"/>
      <c r="B147" s="44"/>
      <c r="C147" s="44"/>
      <c r="D147" s="52" t="s">
        <v>268</v>
      </c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4">
        <v>8.0</v>
      </c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80">
        <f t="shared" si="6"/>
        <v>8</v>
      </c>
      <c r="BS147" s="81"/>
    </row>
    <row r="148">
      <c r="A148" s="44"/>
      <c r="B148" s="44"/>
      <c r="C148" s="44"/>
      <c r="D148" s="52" t="s">
        <v>129</v>
      </c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94"/>
      <c r="AV148" s="94"/>
      <c r="AW148" s="53"/>
      <c r="AX148" s="53"/>
      <c r="AY148" s="53"/>
      <c r="AZ148" s="53"/>
      <c r="BA148" s="53"/>
      <c r="BB148" s="53"/>
      <c r="BC148" s="53"/>
      <c r="BD148" s="53"/>
      <c r="BE148" s="54">
        <v>4.0</v>
      </c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80">
        <f t="shared" si="6"/>
        <v>4</v>
      </c>
      <c r="BS148" s="81"/>
    </row>
    <row r="149">
      <c r="A149" s="44"/>
      <c r="B149" s="44"/>
      <c r="C149" s="44"/>
      <c r="D149" s="52" t="s">
        <v>269</v>
      </c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4">
        <v>4.0</v>
      </c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80">
        <f t="shared" si="6"/>
        <v>4</v>
      </c>
      <c r="BS149" s="81"/>
    </row>
    <row r="150">
      <c r="A150" s="44"/>
      <c r="B150" s="44"/>
      <c r="C150" s="44"/>
      <c r="D150" s="52" t="s">
        <v>270</v>
      </c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4">
        <v>4.0</v>
      </c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80">
        <f t="shared" si="6"/>
        <v>4</v>
      </c>
      <c r="BS150" s="81"/>
    </row>
    <row r="151">
      <c r="A151" s="44"/>
      <c r="B151" s="44"/>
      <c r="C151" s="44"/>
      <c r="D151" s="52" t="s">
        <v>157</v>
      </c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4">
        <v>4.0</v>
      </c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80">
        <f t="shared" si="6"/>
        <v>4</v>
      </c>
      <c r="BS151" s="81"/>
    </row>
    <row r="152">
      <c r="A152" s="44"/>
      <c r="B152" s="44"/>
      <c r="C152" s="44"/>
      <c r="D152" s="52" t="s">
        <v>271</v>
      </c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4">
        <v>1.0</v>
      </c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80">
        <f t="shared" si="6"/>
        <v>1</v>
      </c>
      <c r="BS152" s="81"/>
    </row>
    <row r="153">
      <c r="A153" s="44"/>
      <c r="B153" s="44"/>
      <c r="C153" s="44"/>
      <c r="D153" s="52" t="s">
        <v>272</v>
      </c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4">
        <v>5.0</v>
      </c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80">
        <f t="shared" si="6"/>
        <v>5</v>
      </c>
      <c r="BS153" s="81"/>
    </row>
    <row r="154">
      <c r="A154" s="44"/>
      <c r="B154" s="44"/>
      <c r="C154" s="44"/>
      <c r="D154" s="52" t="s">
        <v>130</v>
      </c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4">
        <v>3.0</v>
      </c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80">
        <f t="shared" si="6"/>
        <v>3</v>
      </c>
      <c r="BS154" s="81"/>
    </row>
    <row r="155">
      <c r="A155" s="44"/>
      <c r="B155" s="44"/>
      <c r="C155" s="44"/>
      <c r="D155" s="52" t="s">
        <v>233</v>
      </c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4">
        <v>3.0</v>
      </c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80">
        <f t="shared" si="6"/>
        <v>3</v>
      </c>
      <c r="BS155" s="81"/>
    </row>
    <row r="156">
      <c r="A156" s="44"/>
      <c r="B156" s="44"/>
      <c r="C156" s="44"/>
      <c r="D156" s="52" t="s">
        <v>137</v>
      </c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4">
        <v>8.0</v>
      </c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80">
        <f t="shared" si="6"/>
        <v>8</v>
      </c>
      <c r="BS156" s="81"/>
    </row>
    <row r="157">
      <c r="A157" s="44"/>
      <c r="B157" s="44"/>
      <c r="C157" s="44"/>
      <c r="D157" s="52" t="s">
        <v>264</v>
      </c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4">
        <v>1.0</v>
      </c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80">
        <f t="shared" si="6"/>
        <v>1</v>
      </c>
      <c r="BS157" s="81"/>
    </row>
    <row r="158">
      <c r="A158" s="44"/>
      <c r="B158" s="44"/>
      <c r="C158" s="44"/>
      <c r="D158" s="52" t="s">
        <v>107</v>
      </c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4">
        <v>3.0</v>
      </c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80">
        <f t="shared" si="6"/>
        <v>3</v>
      </c>
      <c r="BS158" s="81"/>
    </row>
    <row r="159">
      <c r="A159" s="44"/>
      <c r="B159" s="44"/>
      <c r="C159" s="44"/>
      <c r="D159" s="52" t="s">
        <v>273</v>
      </c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4">
        <v>12.0</v>
      </c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80">
        <f t="shared" si="6"/>
        <v>12</v>
      </c>
      <c r="BS159" s="81"/>
    </row>
    <row r="160">
      <c r="A160" s="44"/>
      <c r="B160" s="44"/>
      <c r="C160" s="44"/>
      <c r="D160" s="52" t="s">
        <v>204</v>
      </c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4">
        <v>9.0</v>
      </c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80">
        <f t="shared" si="6"/>
        <v>9</v>
      </c>
      <c r="BS160" s="81"/>
    </row>
    <row r="161">
      <c r="A161" s="28"/>
      <c r="B161" s="28"/>
      <c r="C161" s="28"/>
      <c r="D161" s="52" t="s">
        <v>274</v>
      </c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4">
        <v>5.0</v>
      </c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80">
        <f t="shared" si="6"/>
        <v>5</v>
      </c>
      <c r="BS161" s="45"/>
    </row>
    <row r="162">
      <c r="A162" s="114"/>
      <c r="B162" s="2"/>
      <c r="C162" s="2"/>
      <c r="D162" s="4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  <c r="BP162" s="69"/>
      <c r="BQ162" s="69"/>
      <c r="BR162" s="113"/>
      <c r="BS162" s="113"/>
    </row>
    <row r="163">
      <c r="A163" s="91" t="s">
        <v>275</v>
      </c>
      <c r="B163" s="91">
        <v>1.0</v>
      </c>
      <c r="C163" s="91" t="s">
        <v>211</v>
      </c>
      <c r="D163" s="52" t="s">
        <v>276</v>
      </c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4">
        <v>1.0</v>
      </c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80">
        <f>sum(E163:BQ163)</f>
        <v>1</v>
      </c>
      <c r="BS163" s="80">
        <v>1.0</v>
      </c>
    </row>
    <row r="164">
      <c r="A164" s="115"/>
      <c r="B164" s="116"/>
      <c r="C164" s="116"/>
      <c r="D164" s="48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86"/>
      <c r="BS164" s="117"/>
    </row>
    <row r="165">
      <c r="A165" s="118"/>
      <c r="B165" s="118"/>
      <c r="C165" s="118"/>
      <c r="D165" s="119"/>
      <c r="E165" s="120">
        <f t="shared" ref="E165:BS165" si="7">sum(E5:E163)</f>
        <v>0</v>
      </c>
      <c r="F165" s="120">
        <f t="shared" si="7"/>
        <v>1</v>
      </c>
      <c r="G165" s="120">
        <f t="shared" si="7"/>
        <v>1</v>
      </c>
      <c r="H165" s="120">
        <f t="shared" si="7"/>
        <v>0</v>
      </c>
      <c r="I165" s="120">
        <f t="shared" si="7"/>
        <v>0</v>
      </c>
      <c r="J165" s="120">
        <f t="shared" si="7"/>
        <v>0</v>
      </c>
      <c r="K165" s="120">
        <f t="shared" si="7"/>
        <v>2</v>
      </c>
      <c r="L165" s="120">
        <f t="shared" si="7"/>
        <v>0</v>
      </c>
      <c r="M165" s="120">
        <f t="shared" si="7"/>
        <v>1</v>
      </c>
      <c r="N165" s="120">
        <f t="shared" si="7"/>
        <v>2</v>
      </c>
      <c r="O165" s="120">
        <f t="shared" si="7"/>
        <v>0</v>
      </c>
      <c r="P165" s="120">
        <f t="shared" si="7"/>
        <v>0</v>
      </c>
      <c r="Q165" s="120">
        <f t="shared" si="7"/>
        <v>0</v>
      </c>
      <c r="R165" s="120">
        <f t="shared" si="7"/>
        <v>4</v>
      </c>
      <c r="S165" s="120">
        <f t="shared" si="7"/>
        <v>0</v>
      </c>
      <c r="T165" s="120">
        <f t="shared" si="7"/>
        <v>0</v>
      </c>
      <c r="U165" s="120">
        <f t="shared" si="7"/>
        <v>0</v>
      </c>
      <c r="V165" s="120">
        <f t="shared" si="7"/>
        <v>17</v>
      </c>
      <c r="W165" s="120">
        <f t="shared" si="7"/>
        <v>12</v>
      </c>
      <c r="X165" s="120">
        <f t="shared" si="7"/>
        <v>0</v>
      </c>
      <c r="Y165" s="120">
        <f t="shared" si="7"/>
        <v>1</v>
      </c>
      <c r="Z165" s="120">
        <f t="shared" si="7"/>
        <v>0</v>
      </c>
      <c r="AA165" s="120">
        <f t="shared" si="7"/>
        <v>0</v>
      </c>
      <c r="AB165" s="120">
        <f t="shared" si="7"/>
        <v>0</v>
      </c>
      <c r="AC165" s="120">
        <f t="shared" si="7"/>
        <v>1</v>
      </c>
      <c r="AD165" s="120">
        <f t="shared" si="7"/>
        <v>0</v>
      </c>
      <c r="AE165" s="120">
        <f t="shared" si="7"/>
        <v>0</v>
      </c>
      <c r="AF165" s="120">
        <f t="shared" si="7"/>
        <v>0</v>
      </c>
      <c r="AG165" s="120">
        <f t="shared" si="7"/>
        <v>8</v>
      </c>
      <c r="AH165" s="120">
        <f t="shared" si="7"/>
        <v>0</v>
      </c>
      <c r="AI165" s="120">
        <f t="shared" si="7"/>
        <v>73</v>
      </c>
      <c r="AJ165" s="120">
        <f t="shared" si="7"/>
        <v>0</v>
      </c>
      <c r="AK165" s="120">
        <f t="shared" si="7"/>
        <v>0</v>
      </c>
      <c r="AL165" s="120">
        <f t="shared" si="7"/>
        <v>6</v>
      </c>
      <c r="AM165" s="120">
        <f t="shared" si="7"/>
        <v>0</v>
      </c>
      <c r="AN165" s="120">
        <f t="shared" si="7"/>
        <v>0</v>
      </c>
      <c r="AO165" s="120">
        <f t="shared" si="7"/>
        <v>0</v>
      </c>
      <c r="AP165" s="120">
        <f t="shared" si="7"/>
        <v>0</v>
      </c>
      <c r="AQ165" s="120">
        <f t="shared" si="7"/>
        <v>0</v>
      </c>
      <c r="AR165" s="120">
        <f t="shared" si="7"/>
        <v>0</v>
      </c>
      <c r="AS165" s="120">
        <f t="shared" si="7"/>
        <v>0</v>
      </c>
      <c r="AT165" s="120">
        <f t="shared" si="7"/>
        <v>6</v>
      </c>
      <c r="AU165" s="120">
        <f t="shared" si="7"/>
        <v>101</v>
      </c>
      <c r="AV165" s="120">
        <f t="shared" si="7"/>
        <v>1</v>
      </c>
      <c r="AW165" s="120">
        <f t="shared" si="7"/>
        <v>1</v>
      </c>
      <c r="AX165" s="120">
        <f t="shared" si="7"/>
        <v>0</v>
      </c>
      <c r="AY165" s="120">
        <f t="shared" si="7"/>
        <v>0</v>
      </c>
      <c r="AZ165" s="120">
        <f t="shared" si="7"/>
        <v>0</v>
      </c>
      <c r="BA165" s="120">
        <f t="shared" si="7"/>
        <v>2</v>
      </c>
      <c r="BB165" s="120">
        <f t="shared" si="7"/>
        <v>0</v>
      </c>
      <c r="BC165" s="120">
        <f t="shared" si="7"/>
        <v>0</v>
      </c>
      <c r="BD165" s="120">
        <f t="shared" si="7"/>
        <v>0</v>
      </c>
      <c r="BE165" s="120">
        <f t="shared" si="7"/>
        <v>150</v>
      </c>
      <c r="BF165" s="120">
        <f t="shared" si="7"/>
        <v>0</v>
      </c>
      <c r="BG165" s="120">
        <f t="shared" si="7"/>
        <v>0</v>
      </c>
      <c r="BH165" s="120">
        <f t="shared" si="7"/>
        <v>12</v>
      </c>
      <c r="BI165" s="120">
        <f t="shared" si="7"/>
        <v>1</v>
      </c>
      <c r="BJ165" s="120">
        <f t="shared" si="7"/>
        <v>0</v>
      </c>
      <c r="BK165" s="120">
        <f t="shared" si="7"/>
        <v>0</v>
      </c>
      <c r="BL165" s="120">
        <f t="shared" si="7"/>
        <v>0</v>
      </c>
      <c r="BM165" s="120">
        <f t="shared" si="7"/>
        <v>0</v>
      </c>
      <c r="BN165" s="120">
        <f t="shared" si="7"/>
        <v>0</v>
      </c>
      <c r="BO165" s="120">
        <f t="shared" si="7"/>
        <v>0</v>
      </c>
      <c r="BP165" s="120">
        <f t="shared" si="7"/>
        <v>0</v>
      </c>
      <c r="BQ165" s="120">
        <f t="shared" si="7"/>
        <v>0</v>
      </c>
      <c r="BR165" s="121">
        <f t="shared" si="7"/>
        <v>403</v>
      </c>
      <c r="BS165" s="91">
        <f t="shared" si="7"/>
        <v>403</v>
      </c>
    </row>
  </sheetData>
  <mergeCells count="119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S2:BS3"/>
    <mergeCell ref="BS5:BS22"/>
    <mergeCell ref="BS26:BS33"/>
    <mergeCell ref="BS35:BS59"/>
    <mergeCell ref="BS61:BS120"/>
    <mergeCell ref="BS122:BS131"/>
    <mergeCell ref="BS133:BS161"/>
    <mergeCell ref="BL2:BL3"/>
    <mergeCell ref="BM2:BM3"/>
    <mergeCell ref="BN2:BN3"/>
    <mergeCell ref="BO2:BO3"/>
    <mergeCell ref="BP2:BP3"/>
    <mergeCell ref="BQ2:BQ3"/>
    <mergeCell ref="BR2:BR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A133:A161"/>
    <mergeCell ref="B133:B161"/>
    <mergeCell ref="C133:C161"/>
    <mergeCell ref="A162:D162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4"/>
      <c r="E1" s="6"/>
      <c r="F1" s="8"/>
      <c r="G1" s="6"/>
      <c r="H1" s="6"/>
      <c r="I1" s="6"/>
      <c r="J1" s="6"/>
      <c r="K1" s="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4"/>
      <c r="F2" s="15" t="s">
        <v>5</v>
      </c>
      <c r="G2" s="17" t="s">
        <v>6</v>
      </c>
      <c r="H2" s="17" t="s">
        <v>8</v>
      </c>
      <c r="I2" s="17" t="s">
        <v>9</v>
      </c>
      <c r="J2" s="17" t="s">
        <v>10</v>
      </c>
      <c r="K2" s="17" t="s">
        <v>11</v>
      </c>
      <c r="L2" s="19" t="s">
        <v>12</v>
      </c>
      <c r="M2" s="19" t="s">
        <v>14</v>
      </c>
      <c r="N2" s="21" t="s">
        <v>15</v>
      </c>
      <c r="O2" s="22" t="s">
        <v>16</v>
      </c>
      <c r="P2" s="22" t="s">
        <v>17</v>
      </c>
      <c r="Q2" s="22" t="s">
        <v>18</v>
      </c>
      <c r="R2" s="22" t="s">
        <v>19</v>
      </c>
      <c r="S2" s="22" t="s">
        <v>20</v>
      </c>
      <c r="T2" s="22" t="s">
        <v>21</v>
      </c>
      <c r="U2" s="22" t="s">
        <v>22</v>
      </c>
      <c r="V2" s="22" t="s">
        <v>23</v>
      </c>
      <c r="W2" s="22" t="s">
        <v>24</v>
      </c>
      <c r="X2" s="22" t="s">
        <v>25</v>
      </c>
      <c r="Y2" s="24" t="s">
        <v>26</v>
      </c>
      <c r="Z2" s="26" t="s">
        <v>28</v>
      </c>
      <c r="AA2" s="26" t="s">
        <v>32</v>
      </c>
      <c r="AB2" s="27" t="s">
        <v>39</v>
      </c>
    </row>
    <row r="3">
      <c r="A3" s="28"/>
      <c r="B3" s="28"/>
      <c r="C3" s="28"/>
      <c r="D3" s="29"/>
      <c r="E3" s="14"/>
      <c r="F3" s="30"/>
      <c r="G3" s="31"/>
      <c r="H3" s="31"/>
      <c r="I3" s="31"/>
      <c r="J3" s="31"/>
      <c r="K3" s="31"/>
      <c r="L3" s="32"/>
      <c r="M3" s="32"/>
      <c r="N3" s="28"/>
      <c r="O3" s="29"/>
      <c r="P3" s="29"/>
      <c r="Q3" s="29"/>
      <c r="R3" s="29"/>
      <c r="S3" s="29"/>
      <c r="T3" s="29"/>
      <c r="U3" s="29"/>
      <c r="V3" s="29"/>
      <c r="W3" s="29"/>
      <c r="X3" s="29"/>
      <c r="Y3" s="33"/>
      <c r="Z3" s="34"/>
      <c r="AA3" s="34"/>
      <c r="AB3" s="32"/>
    </row>
    <row r="4">
      <c r="A4" s="35" t="s">
        <v>59</v>
      </c>
      <c r="B4" s="35">
        <v>61.0</v>
      </c>
      <c r="C4" s="35" t="s">
        <v>69</v>
      </c>
      <c r="D4" s="36" t="s">
        <v>70</v>
      </c>
      <c r="E4" s="37">
        <f t="shared" ref="E4:E43" si="1">sum(F4:AA4)</f>
        <v>1</v>
      </c>
      <c r="F4" s="38"/>
      <c r="G4" s="38"/>
      <c r="H4" s="39"/>
      <c r="I4" s="39"/>
      <c r="J4" s="39"/>
      <c r="K4" s="39"/>
      <c r="L4" s="40"/>
      <c r="M4" s="40"/>
      <c r="N4" s="41"/>
      <c r="O4" s="41"/>
      <c r="P4" s="41"/>
      <c r="Q4" s="42">
        <v>1.0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2">
        <f t="shared" ref="AB4:AB6" si="2">sum(F4:Y4)</f>
        <v>1</v>
      </c>
    </row>
    <row r="5">
      <c r="A5" s="44"/>
      <c r="B5" s="44"/>
      <c r="C5" s="44"/>
      <c r="D5" s="46" t="s">
        <v>93</v>
      </c>
      <c r="E5" s="37">
        <f t="shared" si="1"/>
        <v>2</v>
      </c>
      <c r="F5" s="38"/>
      <c r="G5" s="38"/>
      <c r="H5" s="39"/>
      <c r="I5" s="39"/>
      <c r="J5" s="39"/>
      <c r="K5" s="39"/>
      <c r="L5" s="47">
        <v>1.0</v>
      </c>
      <c r="M5" s="40"/>
      <c r="N5" s="41"/>
      <c r="O5" s="41"/>
      <c r="P5" s="42">
        <v>1.0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2">
        <f t="shared" si="2"/>
        <v>2</v>
      </c>
    </row>
    <row r="6">
      <c r="A6" s="44"/>
      <c r="B6" s="44"/>
      <c r="C6" s="44"/>
      <c r="D6" s="46" t="s">
        <v>94</v>
      </c>
      <c r="E6" s="37">
        <f t="shared" si="1"/>
        <v>1</v>
      </c>
      <c r="F6" s="38"/>
      <c r="G6" s="38"/>
      <c r="H6" s="39"/>
      <c r="I6" s="39"/>
      <c r="J6" s="39"/>
      <c r="K6" s="39"/>
      <c r="L6" s="40"/>
      <c r="M6" s="40"/>
      <c r="N6" s="41"/>
      <c r="O6" s="41"/>
      <c r="P6" s="42">
        <v>1.0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>
        <f t="shared" si="2"/>
        <v>1</v>
      </c>
    </row>
    <row r="7">
      <c r="A7" s="44"/>
      <c r="B7" s="44"/>
      <c r="C7" s="44"/>
      <c r="D7" s="46" t="s">
        <v>95</v>
      </c>
      <c r="E7" s="37">
        <f t="shared" si="1"/>
        <v>3</v>
      </c>
      <c r="F7" s="38"/>
      <c r="G7" s="38"/>
      <c r="H7" s="39"/>
      <c r="I7" s="39"/>
      <c r="J7" s="39"/>
      <c r="K7" s="39"/>
      <c r="L7" s="47">
        <v>1.0</v>
      </c>
      <c r="M7" s="47">
        <v>1.0</v>
      </c>
      <c r="N7" s="42">
        <v>1.0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2">
        <f>SUM(B7:Y7)</f>
        <v>6</v>
      </c>
    </row>
    <row r="8">
      <c r="A8" s="44"/>
      <c r="B8" s="44"/>
      <c r="C8" s="44"/>
      <c r="D8" s="46" t="s">
        <v>96</v>
      </c>
      <c r="E8" s="37">
        <f t="shared" si="1"/>
        <v>1</v>
      </c>
      <c r="F8" s="38"/>
      <c r="G8" s="38"/>
      <c r="H8" s="39"/>
      <c r="I8" s="39"/>
      <c r="J8" s="39"/>
      <c r="K8" s="39"/>
      <c r="L8" s="40"/>
      <c r="M8" s="40"/>
      <c r="N8" s="41"/>
      <c r="O8" s="41"/>
      <c r="P8" s="41"/>
      <c r="Q8" s="41"/>
      <c r="R8" s="41"/>
      <c r="S8" s="41"/>
      <c r="T8" s="42">
        <v>1.0</v>
      </c>
      <c r="U8" s="41"/>
      <c r="V8" s="41"/>
      <c r="W8" s="41"/>
      <c r="X8" s="41"/>
      <c r="Y8" s="41"/>
      <c r="Z8" s="41"/>
      <c r="AA8" s="41"/>
      <c r="AB8" s="42">
        <f t="shared" ref="AB8:AB11" si="3">sum(F8:Y8)</f>
        <v>1</v>
      </c>
    </row>
    <row r="9">
      <c r="A9" s="44"/>
      <c r="B9" s="44"/>
      <c r="C9" s="44"/>
      <c r="D9" s="46" t="s">
        <v>97</v>
      </c>
      <c r="E9" s="37">
        <f t="shared" si="1"/>
        <v>2</v>
      </c>
      <c r="F9" s="38"/>
      <c r="G9" s="38"/>
      <c r="H9" s="39"/>
      <c r="I9" s="39"/>
      <c r="J9" s="39"/>
      <c r="K9" s="39"/>
      <c r="L9" s="40"/>
      <c r="M9" s="40"/>
      <c r="N9" s="41"/>
      <c r="O9" s="41"/>
      <c r="P9" s="41"/>
      <c r="Q9" s="41"/>
      <c r="R9" s="41"/>
      <c r="S9" s="41"/>
      <c r="T9" s="42">
        <v>1.0</v>
      </c>
      <c r="U9" s="41"/>
      <c r="V9" s="42">
        <v>1.0</v>
      </c>
      <c r="W9" s="41"/>
      <c r="X9" s="41"/>
      <c r="Y9" s="41"/>
      <c r="Z9" s="41"/>
      <c r="AA9" s="41"/>
      <c r="AB9" s="42">
        <f t="shared" si="3"/>
        <v>2</v>
      </c>
    </row>
    <row r="10">
      <c r="A10" s="44"/>
      <c r="B10" s="44"/>
      <c r="C10" s="44"/>
      <c r="D10" s="46" t="s">
        <v>99</v>
      </c>
      <c r="E10" s="37">
        <f t="shared" si="1"/>
        <v>3</v>
      </c>
      <c r="F10" s="38"/>
      <c r="G10" s="38"/>
      <c r="H10" s="39"/>
      <c r="I10" s="39"/>
      <c r="J10" s="39"/>
      <c r="K10" s="39"/>
      <c r="L10" s="40"/>
      <c r="M10" s="40"/>
      <c r="N10" s="41"/>
      <c r="O10" s="41"/>
      <c r="P10" s="41"/>
      <c r="Q10" s="41"/>
      <c r="R10" s="41"/>
      <c r="S10" s="41"/>
      <c r="T10" s="41"/>
      <c r="U10" s="41"/>
      <c r="V10" s="42">
        <v>2.0</v>
      </c>
      <c r="W10" s="42">
        <v>1.0</v>
      </c>
      <c r="X10" s="41"/>
      <c r="Y10" s="41"/>
      <c r="Z10" s="41"/>
      <c r="AA10" s="41"/>
      <c r="AB10" s="42">
        <f t="shared" si="3"/>
        <v>3</v>
      </c>
    </row>
    <row r="11">
      <c r="A11" s="44"/>
      <c r="B11" s="44"/>
      <c r="C11" s="28"/>
      <c r="D11" s="46" t="s">
        <v>100</v>
      </c>
      <c r="E11" s="37">
        <f t="shared" si="1"/>
        <v>1</v>
      </c>
      <c r="F11" s="38"/>
      <c r="G11" s="38"/>
      <c r="H11" s="39"/>
      <c r="I11" s="39"/>
      <c r="J11" s="39"/>
      <c r="K11" s="39"/>
      <c r="L11" s="47">
        <v>1.0</v>
      </c>
      <c r="M11" s="40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2">
        <f t="shared" si="3"/>
        <v>1</v>
      </c>
    </row>
    <row r="12">
      <c r="A12" s="44"/>
      <c r="B12" s="44"/>
      <c r="C12" s="55" t="s">
        <v>103</v>
      </c>
      <c r="D12" s="56" t="s">
        <v>104</v>
      </c>
      <c r="E12" s="37">
        <f t="shared" si="1"/>
        <v>2</v>
      </c>
      <c r="F12" s="38"/>
      <c r="G12" s="38"/>
      <c r="H12" s="39"/>
      <c r="I12" s="39"/>
      <c r="J12" s="39"/>
      <c r="K12" s="39"/>
      <c r="L12" s="40"/>
      <c r="M12" s="40"/>
      <c r="N12" s="41"/>
      <c r="O12" s="41"/>
      <c r="P12" s="42">
        <v>2.0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2">
        <f t="shared" ref="AB12:AB13" si="4">sum(D12:P12)</f>
        <v>4</v>
      </c>
    </row>
    <row r="13">
      <c r="A13" s="44"/>
      <c r="B13" s="44"/>
      <c r="C13" s="31"/>
      <c r="D13" s="56" t="s">
        <v>105</v>
      </c>
      <c r="E13" s="37">
        <f t="shared" si="1"/>
        <v>1</v>
      </c>
      <c r="F13" s="38"/>
      <c r="G13" s="38"/>
      <c r="H13" s="39"/>
      <c r="I13" s="39"/>
      <c r="J13" s="39"/>
      <c r="K13" s="39"/>
      <c r="L13" s="40"/>
      <c r="M13" s="40"/>
      <c r="N13" s="41"/>
      <c r="O13" s="42">
        <v>1.0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2">
        <f t="shared" si="4"/>
        <v>2</v>
      </c>
    </row>
    <row r="14">
      <c r="A14" s="44"/>
      <c r="B14" s="44"/>
      <c r="C14" s="58" t="s">
        <v>106</v>
      </c>
      <c r="D14" s="56" t="s">
        <v>108</v>
      </c>
      <c r="E14" s="37">
        <f t="shared" si="1"/>
        <v>1</v>
      </c>
      <c r="F14" s="38"/>
      <c r="G14" s="38"/>
      <c r="H14" s="39"/>
      <c r="I14" s="39"/>
      <c r="J14" s="39"/>
      <c r="K14" s="39"/>
      <c r="L14" s="40"/>
      <c r="M14" s="40"/>
      <c r="N14" s="41"/>
      <c r="O14" s="41"/>
      <c r="P14" s="42">
        <v>1.0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2">
        <f>sum(M14:Z14)</f>
        <v>1</v>
      </c>
    </row>
    <row r="15">
      <c r="A15" s="44"/>
      <c r="B15" s="44"/>
      <c r="C15" s="44"/>
      <c r="D15" s="46" t="s">
        <v>109</v>
      </c>
      <c r="E15" s="37">
        <f t="shared" si="1"/>
        <v>1</v>
      </c>
      <c r="F15" s="38"/>
      <c r="G15" s="38"/>
      <c r="H15" s="59">
        <v>1.0</v>
      </c>
      <c r="I15" s="39"/>
      <c r="J15" s="39"/>
      <c r="K15" s="39"/>
      <c r="L15" s="40"/>
      <c r="M15" s="40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2">
        <f>sum(D15:O15)</f>
        <v>2</v>
      </c>
    </row>
    <row r="16">
      <c r="A16" s="44"/>
      <c r="B16" s="44"/>
      <c r="C16" s="44"/>
      <c r="D16" s="46" t="s">
        <v>110</v>
      </c>
      <c r="E16" s="37">
        <f t="shared" si="1"/>
        <v>2</v>
      </c>
      <c r="F16" s="38"/>
      <c r="G16" s="38"/>
      <c r="H16" s="59">
        <v>2.0</v>
      </c>
      <c r="I16" s="39"/>
      <c r="J16" s="39"/>
      <c r="K16" s="39"/>
      <c r="L16" s="40"/>
      <c r="M16" s="40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2">
        <f>sum(D16:AA16)</f>
        <v>4</v>
      </c>
    </row>
    <row r="17">
      <c r="A17" s="44"/>
      <c r="B17" s="44"/>
      <c r="C17" s="44"/>
      <c r="D17" s="46" t="s">
        <v>111</v>
      </c>
      <c r="E17" s="37">
        <f t="shared" si="1"/>
        <v>1</v>
      </c>
      <c r="F17" s="38"/>
      <c r="G17" s="38"/>
      <c r="H17" s="59">
        <v>1.0</v>
      </c>
      <c r="I17" s="39"/>
      <c r="J17" s="39"/>
      <c r="K17" s="39"/>
      <c r="L17" s="40"/>
      <c r="M17" s="40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2">
        <f>sum(D17:Y17)</f>
        <v>2</v>
      </c>
    </row>
    <row r="18">
      <c r="A18" s="44"/>
      <c r="B18" s="44"/>
      <c r="C18" s="44"/>
      <c r="D18" s="46" t="s">
        <v>112</v>
      </c>
      <c r="E18" s="37">
        <f t="shared" si="1"/>
        <v>1</v>
      </c>
      <c r="F18" s="38"/>
      <c r="G18" s="38"/>
      <c r="H18" s="59">
        <v>1.0</v>
      </c>
      <c r="I18" s="39"/>
      <c r="J18" s="39"/>
      <c r="K18" s="39"/>
      <c r="L18" s="40"/>
      <c r="M18" s="40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>
        <f>sum(D18:T18)</f>
        <v>2</v>
      </c>
    </row>
    <row r="19">
      <c r="A19" s="44"/>
      <c r="B19" s="44"/>
      <c r="C19" s="28"/>
      <c r="D19" s="46" t="s">
        <v>113</v>
      </c>
      <c r="E19" s="37">
        <f t="shared" si="1"/>
        <v>1</v>
      </c>
      <c r="F19" s="38"/>
      <c r="G19" s="38"/>
      <c r="H19" s="59">
        <v>1.0</v>
      </c>
      <c r="I19" s="39"/>
      <c r="J19" s="39"/>
      <c r="K19" s="39"/>
      <c r="L19" s="40"/>
      <c r="M19" s="40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2">
        <f>sum(D19:Z19)</f>
        <v>2</v>
      </c>
    </row>
    <row r="20">
      <c r="A20" s="44"/>
      <c r="B20" s="44"/>
      <c r="C20" s="35" t="s">
        <v>114</v>
      </c>
      <c r="D20" s="46" t="s">
        <v>115</v>
      </c>
      <c r="E20" s="37">
        <f t="shared" si="1"/>
        <v>1</v>
      </c>
      <c r="F20" s="38"/>
      <c r="G20" s="38"/>
      <c r="H20" s="39"/>
      <c r="I20" s="39"/>
      <c r="J20" s="39"/>
      <c r="K20" s="39"/>
      <c r="L20" s="40"/>
      <c r="M20" s="40"/>
      <c r="N20" s="41"/>
      <c r="O20" s="41"/>
      <c r="P20" s="42">
        <v>1.0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2">
        <f t="shared" ref="AB20:AB43" si="5">sum(D20:AA20)</f>
        <v>2</v>
      </c>
    </row>
    <row r="21">
      <c r="A21" s="44"/>
      <c r="B21" s="44"/>
      <c r="C21" s="44"/>
      <c r="D21" s="46" t="s">
        <v>116</v>
      </c>
      <c r="E21" s="37">
        <f t="shared" si="1"/>
        <v>4</v>
      </c>
      <c r="F21" s="38"/>
      <c r="G21" s="38"/>
      <c r="H21" s="59">
        <v>1.0</v>
      </c>
      <c r="I21" s="39"/>
      <c r="J21" s="39"/>
      <c r="K21" s="39"/>
      <c r="L21" s="40"/>
      <c r="M21" s="47">
        <v>1.0</v>
      </c>
      <c r="N21" s="41"/>
      <c r="O21" s="41"/>
      <c r="P21" s="42">
        <v>1.0</v>
      </c>
      <c r="Q21" s="41"/>
      <c r="R21" s="41"/>
      <c r="S21" s="41"/>
      <c r="T21" s="41"/>
      <c r="U21" s="41"/>
      <c r="V21" s="41"/>
      <c r="W21" s="42">
        <v>1.0</v>
      </c>
      <c r="X21" s="41"/>
      <c r="Y21" s="41"/>
      <c r="Z21" s="41"/>
      <c r="AA21" s="41"/>
      <c r="AB21" s="42">
        <f t="shared" si="5"/>
        <v>8</v>
      </c>
    </row>
    <row r="22">
      <c r="A22" s="44"/>
      <c r="B22" s="44"/>
      <c r="C22" s="44"/>
      <c r="D22" s="46" t="s">
        <v>117</v>
      </c>
      <c r="E22" s="37">
        <f t="shared" si="1"/>
        <v>1</v>
      </c>
      <c r="F22" s="38"/>
      <c r="G22" s="38"/>
      <c r="H22" s="39"/>
      <c r="I22" s="39"/>
      <c r="J22" s="39"/>
      <c r="K22" s="39"/>
      <c r="L22" s="40"/>
      <c r="M22" s="40"/>
      <c r="N22" s="41"/>
      <c r="O22" s="41"/>
      <c r="P22" s="42">
        <v>1.0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2">
        <f t="shared" si="5"/>
        <v>2</v>
      </c>
    </row>
    <row r="23">
      <c r="A23" s="44"/>
      <c r="B23" s="44"/>
      <c r="C23" s="44"/>
      <c r="D23" s="46" t="s">
        <v>118</v>
      </c>
      <c r="E23" s="37">
        <f t="shared" si="1"/>
        <v>1</v>
      </c>
      <c r="F23" s="38"/>
      <c r="G23" s="38"/>
      <c r="H23" s="39"/>
      <c r="I23" s="39"/>
      <c r="J23" s="39"/>
      <c r="K23" s="39"/>
      <c r="L23" s="40"/>
      <c r="M23" s="40"/>
      <c r="N23" s="41"/>
      <c r="O23" s="41"/>
      <c r="P23" s="42">
        <v>1.0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>
        <f t="shared" si="5"/>
        <v>2</v>
      </c>
    </row>
    <row r="24">
      <c r="A24" s="44"/>
      <c r="B24" s="44"/>
      <c r="C24" s="44"/>
      <c r="D24" s="46" t="s">
        <v>119</v>
      </c>
      <c r="E24" s="37">
        <f t="shared" si="1"/>
        <v>4</v>
      </c>
      <c r="F24" s="38"/>
      <c r="G24" s="38"/>
      <c r="H24" s="39"/>
      <c r="I24" s="59">
        <v>1.0</v>
      </c>
      <c r="J24" s="39"/>
      <c r="K24" s="39"/>
      <c r="L24" s="40"/>
      <c r="M24" s="47">
        <v>3.0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2">
        <f t="shared" si="5"/>
        <v>8</v>
      </c>
    </row>
    <row r="25">
      <c r="A25" s="44"/>
      <c r="B25" s="44"/>
      <c r="C25" s="44"/>
      <c r="D25" s="46" t="s">
        <v>120</v>
      </c>
      <c r="E25" s="37">
        <f t="shared" si="1"/>
        <v>2</v>
      </c>
      <c r="F25" s="38"/>
      <c r="G25" s="38"/>
      <c r="H25" s="39"/>
      <c r="I25" s="39"/>
      <c r="J25" s="39"/>
      <c r="K25" s="39"/>
      <c r="L25" s="40"/>
      <c r="M25" s="47">
        <v>1.0</v>
      </c>
      <c r="N25" s="41"/>
      <c r="O25" s="41"/>
      <c r="P25" s="41"/>
      <c r="Q25" s="41"/>
      <c r="R25" s="41"/>
      <c r="S25" s="41"/>
      <c r="T25" s="41"/>
      <c r="U25" s="41"/>
      <c r="V25" s="42">
        <v>1.0</v>
      </c>
      <c r="W25" s="41"/>
      <c r="X25" s="41"/>
      <c r="Y25" s="41"/>
      <c r="Z25" s="41"/>
      <c r="AA25" s="41"/>
      <c r="AB25" s="42">
        <f t="shared" si="5"/>
        <v>4</v>
      </c>
    </row>
    <row r="26">
      <c r="A26" s="44"/>
      <c r="B26" s="44"/>
      <c r="C26" s="44"/>
      <c r="D26" s="46" t="s">
        <v>108</v>
      </c>
      <c r="E26" s="37">
        <f t="shared" si="1"/>
        <v>2</v>
      </c>
      <c r="F26" s="62">
        <v>1.0</v>
      </c>
      <c r="G26" s="38"/>
      <c r="H26" s="39"/>
      <c r="I26" s="39"/>
      <c r="J26" s="59">
        <v>1.0</v>
      </c>
      <c r="K26" s="39"/>
      <c r="L26" s="40"/>
      <c r="M26" s="40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>
        <f t="shared" si="5"/>
        <v>4</v>
      </c>
    </row>
    <row r="27">
      <c r="A27" s="44"/>
      <c r="B27" s="44"/>
      <c r="C27" s="44"/>
      <c r="D27" s="46" t="s">
        <v>121</v>
      </c>
      <c r="E27" s="37">
        <f t="shared" si="1"/>
        <v>2</v>
      </c>
      <c r="F27" s="38"/>
      <c r="G27" s="62">
        <v>1.0</v>
      </c>
      <c r="H27" s="39"/>
      <c r="I27" s="39"/>
      <c r="J27" s="39"/>
      <c r="K27" s="39"/>
      <c r="L27" s="40"/>
      <c r="M27" s="40"/>
      <c r="N27" s="41"/>
      <c r="O27" s="41"/>
      <c r="P27" s="41"/>
      <c r="Q27" s="41"/>
      <c r="R27" s="42">
        <v>1.0</v>
      </c>
      <c r="S27" s="41"/>
      <c r="T27" s="41"/>
      <c r="U27" s="41"/>
      <c r="V27" s="41"/>
      <c r="W27" s="41"/>
      <c r="X27" s="41"/>
      <c r="Y27" s="41"/>
      <c r="Z27" s="41"/>
      <c r="AA27" s="41"/>
      <c r="AB27" s="42">
        <f t="shared" si="5"/>
        <v>4</v>
      </c>
    </row>
    <row r="28">
      <c r="A28" s="44"/>
      <c r="B28" s="44"/>
      <c r="C28" s="44"/>
      <c r="D28" s="46" t="s">
        <v>122</v>
      </c>
      <c r="E28" s="37">
        <f t="shared" si="1"/>
        <v>1</v>
      </c>
      <c r="F28" s="38"/>
      <c r="G28" s="38"/>
      <c r="H28" s="59">
        <v>1.0</v>
      </c>
      <c r="I28" s="39"/>
      <c r="J28" s="39"/>
      <c r="K28" s="39"/>
      <c r="L28" s="40"/>
      <c r="M28" s="40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>
        <f t="shared" si="5"/>
        <v>2</v>
      </c>
    </row>
    <row r="29">
      <c r="A29" s="44"/>
      <c r="B29" s="44"/>
      <c r="C29" s="44"/>
      <c r="D29" s="46" t="s">
        <v>123</v>
      </c>
      <c r="E29" s="37">
        <f t="shared" si="1"/>
        <v>1</v>
      </c>
      <c r="F29" s="38"/>
      <c r="G29" s="38"/>
      <c r="H29" s="59">
        <v>1.0</v>
      </c>
      <c r="I29" s="39"/>
      <c r="J29" s="39"/>
      <c r="K29" s="39"/>
      <c r="L29" s="40"/>
      <c r="M29" s="40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2">
        <f t="shared" si="5"/>
        <v>2</v>
      </c>
    </row>
    <row r="30">
      <c r="A30" s="44"/>
      <c r="B30" s="44"/>
      <c r="C30" s="44"/>
      <c r="D30" s="46" t="s">
        <v>124</v>
      </c>
      <c r="E30" s="37">
        <f t="shared" si="1"/>
        <v>1</v>
      </c>
      <c r="F30" s="38"/>
      <c r="G30" s="38"/>
      <c r="H30" s="59">
        <v>1.0</v>
      </c>
      <c r="I30" s="39"/>
      <c r="J30" s="39"/>
      <c r="K30" s="39"/>
      <c r="L30" s="40"/>
      <c r="M30" s="40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>
        <f t="shared" si="5"/>
        <v>2</v>
      </c>
    </row>
    <row r="31">
      <c r="A31" s="44"/>
      <c r="B31" s="44"/>
      <c r="C31" s="44"/>
      <c r="D31" s="46" t="s">
        <v>125</v>
      </c>
      <c r="E31" s="37">
        <f t="shared" si="1"/>
        <v>3</v>
      </c>
      <c r="F31" s="38"/>
      <c r="G31" s="38"/>
      <c r="H31" s="39"/>
      <c r="I31" s="39"/>
      <c r="J31" s="39"/>
      <c r="K31" s="39"/>
      <c r="L31" s="40"/>
      <c r="M31" s="40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>
        <v>3.0</v>
      </c>
      <c r="AB31" s="42">
        <f t="shared" si="5"/>
        <v>6</v>
      </c>
    </row>
    <row r="32">
      <c r="A32" s="44"/>
      <c r="B32" s="44"/>
      <c r="C32" s="44"/>
      <c r="D32" s="46" t="s">
        <v>126</v>
      </c>
      <c r="E32" s="37">
        <f t="shared" si="1"/>
        <v>1</v>
      </c>
      <c r="F32" s="38"/>
      <c r="G32" s="38"/>
      <c r="H32" s="39"/>
      <c r="I32" s="39"/>
      <c r="J32" s="39"/>
      <c r="K32" s="39"/>
      <c r="L32" s="40"/>
      <c r="M32" s="40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>
        <v>1.0</v>
      </c>
      <c r="AB32" s="42">
        <f t="shared" si="5"/>
        <v>2</v>
      </c>
    </row>
    <row r="33">
      <c r="A33" s="44"/>
      <c r="B33" s="44"/>
      <c r="C33" s="28"/>
      <c r="D33" s="46" t="s">
        <v>127</v>
      </c>
      <c r="E33" s="37">
        <f t="shared" si="1"/>
        <v>2</v>
      </c>
      <c r="F33" s="38"/>
      <c r="G33" s="38"/>
      <c r="H33" s="39"/>
      <c r="I33" s="39"/>
      <c r="J33" s="39"/>
      <c r="K33" s="39"/>
      <c r="L33" s="47">
        <v>1.0</v>
      </c>
      <c r="M33" s="40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2">
        <v>1.0</v>
      </c>
      <c r="AA33" s="41"/>
      <c r="AB33" s="42">
        <f t="shared" si="5"/>
        <v>4</v>
      </c>
    </row>
    <row r="34">
      <c r="A34" s="44"/>
      <c r="B34" s="44"/>
      <c r="C34" s="35" t="s">
        <v>128</v>
      </c>
      <c r="D34" s="46" t="s">
        <v>129</v>
      </c>
      <c r="E34" s="37">
        <f t="shared" si="1"/>
        <v>1</v>
      </c>
      <c r="F34" s="38"/>
      <c r="G34" s="38"/>
      <c r="H34" s="39"/>
      <c r="I34" s="39"/>
      <c r="J34" s="39"/>
      <c r="K34" s="39"/>
      <c r="L34" s="40"/>
      <c r="M34" s="40"/>
      <c r="N34" s="41"/>
      <c r="O34" s="41"/>
      <c r="P34" s="42">
        <v>1.0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>
        <f t="shared" si="5"/>
        <v>2</v>
      </c>
    </row>
    <row r="35">
      <c r="A35" s="44"/>
      <c r="B35" s="44"/>
      <c r="C35" s="28"/>
      <c r="D35" s="46" t="s">
        <v>130</v>
      </c>
      <c r="E35" s="37">
        <f t="shared" si="1"/>
        <v>1</v>
      </c>
      <c r="F35" s="38"/>
      <c r="G35" s="38"/>
      <c r="H35" s="59">
        <v>1.0</v>
      </c>
      <c r="I35" s="39"/>
      <c r="J35" s="39"/>
      <c r="K35" s="39"/>
      <c r="L35" s="40"/>
      <c r="M35" s="40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2">
        <f t="shared" si="5"/>
        <v>2</v>
      </c>
    </row>
    <row r="36">
      <c r="A36" s="44"/>
      <c r="B36" s="44"/>
      <c r="C36" s="35" t="s">
        <v>131</v>
      </c>
      <c r="D36" s="46" t="s">
        <v>132</v>
      </c>
      <c r="E36" s="37">
        <f t="shared" si="1"/>
        <v>1</v>
      </c>
      <c r="F36" s="62">
        <v>1.0</v>
      </c>
      <c r="G36" s="38"/>
      <c r="H36" s="39"/>
      <c r="I36" s="39"/>
      <c r="J36" s="39"/>
      <c r="K36" s="39"/>
      <c r="L36" s="40"/>
      <c r="M36" s="40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2">
        <f t="shared" si="5"/>
        <v>2</v>
      </c>
    </row>
    <row r="37">
      <c r="A37" s="44"/>
      <c r="B37" s="44"/>
      <c r="C37" s="28"/>
      <c r="D37" s="46" t="s">
        <v>133</v>
      </c>
      <c r="E37" s="37">
        <f t="shared" si="1"/>
        <v>1</v>
      </c>
      <c r="F37" s="38"/>
      <c r="G37" s="38"/>
      <c r="H37" s="39"/>
      <c r="I37" s="39"/>
      <c r="J37" s="39"/>
      <c r="K37" s="39"/>
      <c r="L37" s="47">
        <v>1.0</v>
      </c>
      <c r="M37" s="40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2">
        <f t="shared" si="5"/>
        <v>2</v>
      </c>
    </row>
    <row r="38">
      <c r="A38" s="44"/>
      <c r="B38" s="44"/>
      <c r="C38" s="35" t="s">
        <v>134</v>
      </c>
      <c r="D38" s="46" t="s">
        <v>135</v>
      </c>
      <c r="E38" s="37">
        <f t="shared" si="1"/>
        <v>1</v>
      </c>
      <c r="F38" s="38"/>
      <c r="G38" s="38"/>
      <c r="H38" s="39"/>
      <c r="I38" s="39"/>
      <c r="J38" s="39"/>
      <c r="K38" s="39"/>
      <c r="L38" s="40"/>
      <c r="M38" s="40"/>
      <c r="N38" s="41"/>
      <c r="O38" s="41"/>
      <c r="P38" s="41"/>
      <c r="Q38" s="41"/>
      <c r="R38" s="42">
        <v>1.0</v>
      </c>
      <c r="S38" s="41"/>
      <c r="T38" s="41"/>
      <c r="U38" s="41"/>
      <c r="V38" s="41"/>
      <c r="W38" s="41"/>
      <c r="X38" s="41"/>
      <c r="Y38" s="41"/>
      <c r="Z38" s="41"/>
      <c r="AA38" s="41"/>
      <c r="AB38" s="42">
        <f t="shared" si="5"/>
        <v>2</v>
      </c>
    </row>
    <row r="39">
      <c r="A39" s="44"/>
      <c r="B39" s="44"/>
      <c r="C39" s="44"/>
      <c r="D39" s="64" t="s">
        <v>136</v>
      </c>
      <c r="E39" s="37">
        <f t="shared" si="1"/>
        <v>1</v>
      </c>
      <c r="F39" s="38"/>
      <c r="G39" s="38"/>
      <c r="H39" s="39"/>
      <c r="I39" s="39"/>
      <c r="J39" s="39"/>
      <c r="K39" s="39"/>
      <c r="L39" s="40"/>
      <c r="M39" s="40"/>
      <c r="N39" s="41"/>
      <c r="O39" s="41"/>
      <c r="P39" s="41"/>
      <c r="Q39" s="41"/>
      <c r="R39" s="42">
        <v>1.0</v>
      </c>
      <c r="S39" s="41"/>
      <c r="T39" s="41"/>
      <c r="U39" s="41"/>
      <c r="V39" s="41"/>
      <c r="W39" s="41"/>
      <c r="X39" s="41"/>
      <c r="Y39" s="41"/>
      <c r="Z39" s="41"/>
      <c r="AA39" s="41"/>
      <c r="AB39" s="42">
        <f t="shared" si="5"/>
        <v>2</v>
      </c>
    </row>
    <row r="40">
      <c r="A40" s="44"/>
      <c r="B40" s="44"/>
      <c r="C40" s="28"/>
      <c r="D40" s="64" t="s">
        <v>138</v>
      </c>
      <c r="E40" s="37">
        <f t="shared" si="1"/>
        <v>1</v>
      </c>
      <c r="F40" s="38"/>
      <c r="G40" s="38"/>
      <c r="H40" s="39"/>
      <c r="I40" s="39"/>
      <c r="J40" s="39"/>
      <c r="K40" s="39"/>
      <c r="L40" s="40"/>
      <c r="M40" s="40"/>
      <c r="N40" s="41"/>
      <c r="O40" s="41"/>
      <c r="P40" s="41"/>
      <c r="Q40" s="41"/>
      <c r="R40" s="41"/>
      <c r="S40" s="42">
        <v>1.0</v>
      </c>
      <c r="T40" s="41"/>
      <c r="U40" s="41"/>
      <c r="V40" s="41"/>
      <c r="W40" s="41"/>
      <c r="X40" s="41"/>
      <c r="Y40" s="41"/>
      <c r="Z40" s="41"/>
      <c r="AA40" s="41"/>
      <c r="AB40" s="42">
        <f t="shared" si="5"/>
        <v>2</v>
      </c>
    </row>
    <row r="41">
      <c r="A41" s="44"/>
      <c r="B41" s="44"/>
      <c r="C41" s="35" t="s">
        <v>139</v>
      </c>
      <c r="D41" s="46" t="s">
        <v>141</v>
      </c>
      <c r="E41" s="37">
        <f t="shared" si="1"/>
        <v>2</v>
      </c>
      <c r="F41" s="38"/>
      <c r="G41" s="38"/>
      <c r="H41" s="39"/>
      <c r="I41" s="39"/>
      <c r="J41" s="39"/>
      <c r="K41" s="39"/>
      <c r="L41" s="40"/>
      <c r="M41" s="40"/>
      <c r="N41" s="41"/>
      <c r="O41" s="41"/>
      <c r="P41" s="41"/>
      <c r="Q41" s="41"/>
      <c r="R41" s="41"/>
      <c r="S41" s="41"/>
      <c r="T41" s="42">
        <v>1.0</v>
      </c>
      <c r="U41" s="41"/>
      <c r="V41" s="41"/>
      <c r="W41" s="41"/>
      <c r="X41" s="41"/>
      <c r="Y41" s="42">
        <v>1.0</v>
      </c>
      <c r="Z41" s="41"/>
      <c r="AA41" s="41"/>
      <c r="AB41" s="42">
        <f t="shared" si="5"/>
        <v>4</v>
      </c>
    </row>
    <row r="42">
      <c r="A42" s="44"/>
      <c r="B42" s="44"/>
      <c r="C42" s="28"/>
      <c r="D42" s="46" t="s">
        <v>142</v>
      </c>
      <c r="E42" s="37">
        <f t="shared" si="1"/>
        <v>1</v>
      </c>
      <c r="F42" s="38"/>
      <c r="G42" s="38"/>
      <c r="H42" s="39"/>
      <c r="I42" s="39"/>
      <c r="J42" s="39"/>
      <c r="K42" s="39"/>
      <c r="L42" s="40"/>
      <c r="M42" s="40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2">
        <v>1.0</v>
      </c>
      <c r="Z42" s="41"/>
      <c r="AA42" s="41"/>
      <c r="AB42" s="42">
        <f t="shared" si="5"/>
        <v>2</v>
      </c>
    </row>
    <row r="43">
      <c r="A43" s="28"/>
      <c r="B43" s="28"/>
      <c r="C43" s="66" t="s">
        <v>143</v>
      </c>
      <c r="D43" s="46" t="s">
        <v>145</v>
      </c>
      <c r="E43" s="37">
        <f t="shared" si="1"/>
        <v>1</v>
      </c>
      <c r="F43" s="38"/>
      <c r="G43" s="38"/>
      <c r="H43" s="39"/>
      <c r="I43" s="39"/>
      <c r="J43" s="39"/>
      <c r="K43" s="59">
        <v>1.0</v>
      </c>
      <c r="L43" s="40"/>
      <c r="M43" s="40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2">
        <f t="shared" si="5"/>
        <v>2</v>
      </c>
    </row>
  </sheetData>
  <mergeCells count="38">
    <mergeCell ref="H2:H3"/>
    <mergeCell ref="I2:I3"/>
    <mergeCell ref="J2:J3"/>
    <mergeCell ref="K2:K3"/>
    <mergeCell ref="L2:L3"/>
    <mergeCell ref="M2:M3"/>
    <mergeCell ref="N2:N3"/>
    <mergeCell ref="V2:V3"/>
    <mergeCell ref="W2:W3"/>
    <mergeCell ref="X2:X3"/>
    <mergeCell ref="Y2:Y3"/>
    <mergeCell ref="Z2:Z3"/>
    <mergeCell ref="AA2:AA3"/>
    <mergeCell ref="AB2:AB3"/>
    <mergeCell ref="O2:O3"/>
    <mergeCell ref="P2:P3"/>
    <mergeCell ref="Q2:Q3"/>
    <mergeCell ref="R2:R3"/>
    <mergeCell ref="S2:S3"/>
    <mergeCell ref="T2:T3"/>
    <mergeCell ref="U2:U3"/>
    <mergeCell ref="A1:D1"/>
    <mergeCell ref="A2:A3"/>
    <mergeCell ref="B2:B3"/>
    <mergeCell ref="C2:C3"/>
    <mergeCell ref="D2:D3"/>
    <mergeCell ref="F2:F3"/>
    <mergeCell ref="G2:G3"/>
    <mergeCell ref="C36:C37"/>
    <mergeCell ref="C38:C40"/>
    <mergeCell ref="A4:A43"/>
    <mergeCell ref="B4:B43"/>
    <mergeCell ref="C4:C11"/>
    <mergeCell ref="C12:C13"/>
    <mergeCell ref="C14:C19"/>
    <mergeCell ref="C20:C33"/>
    <mergeCell ref="C34:C35"/>
    <mergeCell ref="C41:C42"/>
  </mergeCells>
  <drawing r:id="rId1"/>
</worksheet>
</file>